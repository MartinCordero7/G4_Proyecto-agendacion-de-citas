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B04FB26-88EF-4B3C-8D56-61E0DD6A9C80}" xr6:coauthVersionLast="47" xr6:coauthVersionMax="47" xr10:uidLastSave="{00000000-0000-0000-0000-000000000000}"/>
  <bookViews>
    <workbookView xWindow="-96" yWindow="0" windowWidth="11712" windowHeight="12336" firstSheet="5" activeTab="6" xr2:uid="{00000000-000D-0000-FFFF-FFFF00000000}"/>
  </bookViews>
  <sheets>
    <sheet name="Resumen Presupuesto" sheetId="1" state="hidden" r:id="rId1"/>
    <sheet name="RESUMEN" sheetId="7" r:id="rId2"/>
    <sheet name="Detalles - Ingenieros" sheetId="2" r:id="rId3"/>
    <sheet name="Detalles - Equipos" sheetId="3" r:id="rId4"/>
    <sheet name="Detalles - Servicios" sheetId="4" r:id="rId5"/>
    <sheet name="Proyección" sheetId="5" r:id="rId6"/>
    <sheet name="Estimado propuesta 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" i="6" l="1"/>
  <c r="H44" i="6"/>
  <c r="H45" i="6"/>
  <c r="H46" i="6"/>
  <c r="H47" i="6"/>
  <c r="H48" i="6"/>
  <c r="H49" i="6"/>
  <c r="H43" i="6"/>
  <c r="G49" i="6"/>
  <c r="G48" i="6"/>
  <c r="G47" i="6"/>
  <c r="G46" i="6"/>
  <c r="G45" i="6"/>
  <c r="G44" i="6"/>
  <c r="G43" i="6"/>
  <c r="F49" i="6"/>
  <c r="F48" i="6"/>
  <c r="F47" i="6"/>
  <c r="F46" i="6"/>
  <c r="F45" i="6"/>
  <c r="F44" i="6"/>
  <c r="F43" i="6"/>
  <c r="F34" i="6"/>
  <c r="F27" i="6"/>
  <c r="F28" i="6"/>
  <c r="F26" i="6"/>
  <c r="F20" i="6"/>
  <c r="F19" i="6"/>
  <c r="F10" i="6"/>
  <c r="F9" i="6"/>
  <c r="F5" i="6"/>
  <c r="J6" i="3"/>
  <c r="E11" i="6"/>
  <c r="E49" i="6"/>
  <c r="E48" i="6"/>
  <c r="E47" i="6"/>
  <c r="E46" i="6"/>
  <c r="E45" i="6"/>
  <c r="E44" i="6"/>
  <c r="E43" i="6"/>
  <c r="H35" i="6"/>
  <c r="H36" i="6"/>
  <c r="H37" i="6"/>
  <c r="H34" i="6"/>
  <c r="H38" i="6" s="1"/>
  <c r="G37" i="6"/>
  <c r="G36" i="6"/>
  <c r="G35" i="6"/>
  <c r="G34" i="6"/>
  <c r="F37" i="6"/>
  <c r="F36" i="6"/>
  <c r="F35" i="6"/>
  <c r="E37" i="6"/>
  <c r="E36" i="6"/>
  <c r="E34" i="6"/>
  <c r="E35" i="6"/>
  <c r="H28" i="6"/>
  <c r="E29" i="6"/>
  <c r="H29" i="6" s="1"/>
  <c r="G29" i="6"/>
  <c r="G28" i="6"/>
  <c r="G27" i="6"/>
  <c r="G26" i="6"/>
  <c r="H26" i="6" s="1"/>
  <c r="F29" i="6"/>
  <c r="E28" i="6"/>
  <c r="E27" i="6"/>
  <c r="E26" i="6"/>
  <c r="H27" i="6" l="1"/>
  <c r="H30" i="6"/>
  <c r="E18" i="6" l="1"/>
  <c r="E17" i="6"/>
  <c r="H17" i="6" s="1"/>
  <c r="E20" i="6"/>
  <c r="E9" i="6"/>
  <c r="E19" i="6"/>
  <c r="H19" i="6" s="1"/>
  <c r="H18" i="6"/>
  <c r="H20" i="6"/>
  <c r="G20" i="6"/>
  <c r="G19" i="6"/>
  <c r="G18" i="6"/>
  <c r="G17" i="6"/>
  <c r="F18" i="6"/>
  <c r="F17" i="6"/>
  <c r="E3" i="6"/>
  <c r="E7" i="6"/>
  <c r="H7" i="6" s="1"/>
  <c r="H4" i="6"/>
  <c r="H5" i="6"/>
  <c r="H8" i="6"/>
  <c r="H9" i="6"/>
  <c r="H10" i="6"/>
  <c r="H11" i="6"/>
  <c r="G11" i="6"/>
  <c r="G10" i="6"/>
  <c r="G9" i="6"/>
  <c r="G8" i="6"/>
  <c r="G7" i="6"/>
  <c r="G6" i="6"/>
  <c r="G5" i="6"/>
  <c r="G4" i="6"/>
  <c r="G3" i="6"/>
  <c r="F11" i="6"/>
  <c r="F8" i="6"/>
  <c r="F7" i="6"/>
  <c r="F6" i="6"/>
  <c r="F4" i="6"/>
  <c r="F3" i="6"/>
  <c r="H3" i="6" s="1"/>
  <c r="E10" i="6"/>
  <c r="E6" i="6"/>
  <c r="H6" i="6" s="1"/>
  <c r="E4" i="6"/>
  <c r="E8" i="6"/>
  <c r="E5" i="6"/>
  <c r="M5" i="6"/>
  <c r="M6" i="6"/>
  <c r="M4" i="6"/>
  <c r="L6" i="6"/>
  <c r="L5" i="6"/>
  <c r="L4" i="6"/>
  <c r="K6" i="6"/>
  <c r="K5" i="6"/>
  <c r="K4" i="6"/>
  <c r="P16" i="3"/>
  <c r="M16" i="3"/>
  <c r="M17" i="3" s="1"/>
  <c r="M18" i="3" s="1"/>
  <c r="M19" i="3" s="1"/>
  <c r="J16" i="3"/>
  <c r="J17" i="3"/>
  <c r="J18" i="3" s="1"/>
  <c r="J19" i="3" s="1"/>
  <c r="P6" i="3"/>
  <c r="P7" i="3" s="1"/>
  <c r="P8" i="3" s="1"/>
  <c r="P9" i="3" s="1"/>
  <c r="M6" i="3"/>
  <c r="J7" i="3"/>
  <c r="J8" i="3" s="1"/>
  <c r="J9" i="3" s="1"/>
  <c r="M7" i="3"/>
  <c r="M8" i="3" s="1"/>
  <c r="M9" i="3" s="1"/>
  <c r="K2" i="6"/>
  <c r="G24" i="4"/>
  <c r="E20" i="4"/>
  <c r="E14" i="4"/>
  <c r="E7" i="4"/>
  <c r="G21" i="3"/>
  <c r="G18" i="3"/>
  <c r="E16" i="3"/>
  <c r="E17" i="3"/>
  <c r="E15" i="3"/>
  <c r="E7" i="3"/>
  <c r="E8" i="3"/>
  <c r="E6" i="3"/>
  <c r="G6" i="3" s="1"/>
  <c r="G16" i="3"/>
  <c r="G17" i="3"/>
  <c r="G15" i="3"/>
  <c r="G7" i="3"/>
  <c r="G8" i="3"/>
  <c r="B21" i="7"/>
  <c r="B20" i="7"/>
  <c r="B16" i="7"/>
  <c r="B12" i="7"/>
  <c r="J7" i="4"/>
  <c r="I5" i="4"/>
  <c r="I6" i="4"/>
  <c r="I4" i="4"/>
  <c r="D18" i="4"/>
  <c r="E18" i="4" s="1"/>
  <c r="F18" i="4" s="1"/>
  <c r="G18" i="4" s="1"/>
  <c r="D19" i="4"/>
  <c r="E19" i="4" s="1"/>
  <c r="F19" i="4" s="1"/>
  <c r="G19" i="4" s="1"/>
  <c r="D17" i="4"/>
  <c r="E17" i="4" s="1"/>
  <c r="F17" i="4" s="1"/>
  <c r="G17" i="4" s="1"/>
  <c r="G20" i="4" s="1"/>
  <c r="D12" i="4"/>
  <c r="E12" i="4" s="1"/>
  <c r="F12" i="4" s="1"/>
  <c r="G12" i="4" s="1"/>
  <c r="D13" i="4"/>
  <c r="E13" i="4" s="1"/>
  <c r="F13" i="4" s="1"/>
  <c r="G13" i="4" s="1"/>
  <c r="D11" i="4"/>
  <c r="E11" i="4" s="1"/>
  <c r="F11" i="4" s="1"/>
  <c r="G11" i="4" s="1"/>
  <c r="D5" i="4"/>
  <c r="E5" i="4" s="1"/>
  <c r="F5" i="4" s="1"/>
  <c r="G5" i="4" s="1"/>
  <c r="D6" i="4"/>
  <c r="E6" i="4" s="1"/>
  <c r="F6" i="4" s="1"/>
  <c r="G6" i="4" s="1"/>
  <c r="D4" i="4"/>
  <c r="E4" i="4" s="1"/>
  <c r="F4" i="4" s="1"/>
  <c r="G4" i="4" s="1"/>
  <c r="B16" i="2"/>
  <c r="H21" i="6" l="1"/>
  <c r="H52" i="6" s="1"/>
  <c r="B55" i="6" s="1"/>
  <c r="H12" i="6"/>
  <c r="P17" i="3"/>
  <c r="P18" i="3" s="1"/>
  <c r="P19" i="3" s="1"/>
  <c r="G9" i="3"/>
  <c r="G14" i="4"/>
  <c r="G7" i="4"/>
  <c r="B57" i="6" l="1"/>
  <c r="B56" i="6"/>
  <c r="B58" i="6" s="1"/>
  <c r="G22" i="4"/>
</calcChain>
</file>

<file path=xl/sharedStrings.xml><?xml version="1.0" encoding="utf-8"?>
<sst xmlns="http://schemas.openxmlformats.org/spreadsheetml/2006/main" count="425" uniqueCount="253">
  <si>
    <t>RECURSO HUMANO</t>
  </si>
  <si>
    <t>Concepto</t>
  </si>
  <si>
    <t>Ingeniero de Software 1</t>
  </si>
  <si>
    <t>Ingeniero de Software 2</t>
  </si>
  <si>
    <t>Ingeniero de Software 3</t>
  </si>
  <si>
    <t>SUBTOTAL RECURSO HUMANO</t>
  </si>
  <si>
    <t>RECURSOS MATERIALES - DEPRECIACIÓN</t>
  </si>
  <si>
    <t>Computadoras</t>
  </si>
  <si>
    <t>PC 1</t>
  </si>
  <si>
    <t>PC 2</t>
  </si>
  <si>
    <t>PC 3</t>
  </si>
  <si>
    <t>SUBTOTAL DEPREC. COMPUTADORAS</t>
  </si>
  <si>
    <t>Celulares</t>
  </si>
  <si>
    <t>Celular 1</t>
  </si>
  <si>
    <t>Celular 2</t>
  </si>
  <si>
    <t>Celular 3</t>
  </si>
  <si>
    <t>SUBTOTAL DEPREC. CELULARES</t>
  </si>
  <si>
    <t>SERVICIOS E INFRAESTRUCTURA</t>
  </si>
  <si>
    <t>Internet</t>
  </si>
  <si>
    <t>Luz</t>
  </si>
  <si>
    <t>Agua</t>
  </si>
  <si>
    <t>Transporte</t>
  </si>
  <si>
    <t>SUBTOTAL SERVICIOS</t>
  </si>
  <si>
    <t>COSTO TOTAL MENSUAL</t>
  </si>
  <si>
    <t>COSTO TOTAL 3 MESES</t>
  </si>
  <si>
    <t>COSTO TOTAL 6 MESES</t>
  </si>
  <si>
    <t>COSTO TOTAL 12 MESES</t>
  </si>
  <si>
    <t>Costo Unitario (USD)</t>
  </si>
  <si>
    <t>$2,000.00</t>
  </si>
  <si>
    <t>Valor Inicial</t>
  </si>
  <si>
    <t>$1,000.00</t>
  </si>
  <si>
    <t>$1,200.00</t>
  </si>
  <si>
    <t>$130.00</t>
  </si>
  <si>
    <t>$150.00</t>
  </si>
  <si>
    <t>Costo Total Mensual (USD)</t>
  </si>
  <si>
    <t>$450.00</t>
  </si>
  <si>
    <t>$1,350.00</t>
  </si>
  <si>
    <t>Depreciación Mensual</t>
  </si>
  <si>
    <t>$9.26</t>
  </si>
  <si>
    <t>$11.11</t>
  </si>
  <si>
    <t>$31.48</t>
  </si>
  <si>
    <t>$1.20</t>
  </si>
  <si>
    <t>$1.39</t>
  </si>
  <si>
    <t>$3.98</t>
  </si>
  <si>
    <t>$30.00</t>
  </si>
  <si>
    <t>$50.00</t>
  </si>
  <si>
    <t>$20.00</t>
  </si>
  <si>
    <t>$80.00</t>
  </si>
  <si>
    <t>$180.00</t>
  </si>
  <si>
    <t>$1,565.46</t>
  </si>
  <si>
    <t>$4,696.38</t>
  </si>
  <si>
    <t>$9,392.76</t>
  </si>
  <si>
    <t>$18,785.52</t>
  </si>
  <si>
    <t>PRESUPUESTO DE PROYECTO - INGENIERÍA DE SOFTWARE</t>
  </si>
  <si>
    <t>Información Base</t>
  </si>
  <si>
    <t>Horas por semana</t>
  </si>
  <si>
    <t>Semanas por mes</t>
  </si>
  <si>
    <t>Horas mensuales</t>
  </si>
  <si>
    <t>Ingeniero Software</t>
  </si>
  <si>
    <t>Salario mensual estimado</t>
  </si>
  <si>
    <t>Costo por hora</t>
  </si>
  <si>
    <t>Horas al mes (9 hr/semana)</t>
  </si>
  <si>
    <t>Costo mensual por ingeniero</t>
  </si>
  <si>
    <t>Valor</t>
  </si>
  <si>
    <t>9</t>
  </si>
  <si>
    <t>4</t>
  </si>
  <si>
    <t>36</t>
  </si>
  <si>
    <t>Cálculo</t>
  </si>
  <si>
    <t>$2,000 / 160</t>
  </si>
  <si>
    <t>9 × 4</t>
  </si>
  <si>
    <t>$12.50 × 36</t>
  </si>
  <si>
    <t>Descripción</t>
  </si>
  <si>
    <t>Horas que trabaja cada ingeniero</t>
  </si>
  <si>
    <t>Semanas estándar del mes</t>
  </si>
  <si>
    <t>9 horas/semana × 4 semanas</t>
  </si>
  <si>
    <t>Resultado</t>
  </si>
  <si>
    <t>Estimación promedio Ecuador</t>
  </si>
  <si>
    <t>$12.50</t>
  </si>
  <si>
    <t>36 horas</t>
  </si>
  <si>
    <t>CÁLCULO DETALLADO - RECURSO HUMANO</t>
  </si>
  <si>
    <t>COMPUTADORAS</t>
  </si>
  <si>
    <t>Equipo</t>
  </si>
  <si>
    <t>CELULARES</t>
  </si>
  <si>
    <t>Vida Útil (meses)</t>
  </si>
  <si>
    <t>CÁLCULO DETALLADO - DEPRECIACIÓN DE EQUIPOS</t>
  </si>
  <si>
    <t>CÁLCULO DETALLADO - SERVICIOS E INFRAESTRUCTURA</t>
  </si>
  <si>
    <t>Período</t>
  </si>
  <si>
    <t>Costo Mensual</t>
  </si>
  <si>
    <t>Costo 1 Mes</t>
  </si>
  <si>
    <t>Costo 3 Meses</t>
  </si>
  <si>
    <t>Costo 6 Meses</t>
  </si>
  <si>
    <t>Costo 12 Meses (1 Año)</t>
  </si>
  <si>
    <t>Costo 18 Meses</t>
  </si>
  <si>
    <t>Costo 24 Meses (2 Años)</t>
  </si>
  <si>
    <t>RESUMEN DE GASTOS</t>
  </si>
  <si>
    <t>Recurso Humano</t>
  </si>
  <si>
    <t>Depreciación Equipos</t>
  </si>
  <si>
    <t>Servicios e Infraestructura</t>
  </si>
  <si>
    <t>Costo Total (USD)</t>
  </si>
  <si>
    <t>$28,177.28</t>
  </si>
  <si>
    <t>$37,569.04</t>
  </si>
  <si>
    <t>Porcentaje del Total</t>
  </si>
  <si>
    <t>86.25%</t>
  </si>
  <si>
    <t>2.25%</t>
  </si>
  <si>
    <t>11.50%</t>
  </si>
  <si>
    <t>PROYECCIÓN DE COSTOS - DIFERENTES PERÍODOS</t>
  </si>
  <si>
    <t>Ingenieros Desarrolladores</t>
  </si>
  <si>
    <t>SCRUM Master</t>
  </si>
  <si>
    <t>$2,500.00</t>
  </si>
  <si>
    <t>$2,500 / 160</t>
  </si>
  <si>
    <t>$15.63</t>
  </si>
  <si>
    <t>$15,63 × 36</t>
  </si>
  <si>
    <t>$562.68</t>
  </si>
  <si>
    <t>$450 × 2</t>
  </si>
  <si>
    <t>Total 2 ingenieros</t>
  </si>
  <si>
    <t>Total SCRUM MASTER</t>
  </si>
  <si>
    <t>NOTA:El salario base de  un ingeniero software es de $2,000 , mientras que un scrum master junior su salario es de $2,500 en Ecuador</t>
  </si>
  <si>
    <t>Modelo</t>
  </si>
  <si>
    <t>HP Pavilion-15-cc060wm</t>
  </si>
  <si>
    <t>Dell Inspiron 15 3511</t>
  </si>
  <si>
    <t>LOQ 15ARP9-TYPE 83JC</t>
  </si>
  <si>
    <t>Xiami Redmi 15C</t>
  </si>
  <si>
    <t>Iphone SE</t>
  </si>
  <si>
    <t>Samsung A54 5G</t>
  </si>
  <si>
    <t>TOTAL EQUIPO DE DESARROLLO:</t>
  </si>
  <si>
    <t>Rol</t>
  </si>
  <si>
    <t>N* Personas (CASA)</t>
  </si>
  <si>
    <t>Factura Luz</t>
  </si>
  <si>
    <t>Cuota por hora internet</t>
  </si>
  <si>
    <t>Cuota Individual luz</t>
  </si>
  <si>
    <t>Cuota por hora Luz</t>
  </si>
  <si>
    <t>Cuota mensual internet</t>
  </si>
  <si>
    <t>Cuenta mensual Luz</t>
  </si>
  <si>
    <t>Scrum Master</t>
  </si>
  <si>
    <t>Ing.Req 1</t>
  </si>
  <si>
    <t>Ing.Req 2</t>
  </si>
  <si>
    <t>Cuota Individual Internet</t>
  </si>
  <si>
    <t>Factura agua</t>
  </si>
  <si>
    <t>Costo individual agua</t>
  </si>
  <si>
    <t>Cuota por hora agua</t>
  </si>
  <si>
    <t>Costo mensual agua</t>
  </si>
  <si>
    <t>Agua(4,5 Meses)</t>
  </si>
  <si>
    <t>Factura Internet</t>
  </si>
  <si>
    <t>50 horas*semana</t>
  </si>
  <si>
    <t>Factura transporte</t>
  </si>
  <si>
    <t>Transporte x dia</t>
  </si>
  <si>
    <t>Proyecto</t>
  </si>
  <si>
    <t>Propuesta</t>
  </si>
  <si>
    <t>Fecha</t>
  </si>
  <si>
    <t>Duracion estimada (Meses)</t>
  </si>
  <si>
    <t>Integrantes</t>
  </si>
  <si>
    <t>Sistema de gestion de citas: Fisioterapia y Rehabilitacion</t>
  </si>
  <si>
    <t xml:space="preserve">Cordero Martin </t>
  </si>
  <si>
    <t>Erick Tufiño</t>
  </si>
  <si>
    <t>Tufiño Erick</t>
  </si>
  <si>
    <t>Ayuquina Danny</t>
  </si>
  <si>
    <t>Calculo por dia</t>
  </si>
  <si>
    <t>Horas</t>
  </si>
  <si>
    <t>Horas de trabajo por dia</t>
  </si>
  <si>
    <t>Horas de trabajo autonomo</t>
  </si>
  <si>
    <t>Total horas x dia</t>
  </si>
  <si>
    <t>Calculo semanal</t>
  </si>
  <si>
    <t>Dias de trabajo a la semana</t>
  </si>
  <si>
    <t>Horas de trabajo semanal</t>
  </si>
  <si>
    <t>Calculo semestral</t>
  </si>
  <si>
    <t>Total semanas de trabajo</t>
  </si>
  <si>
    <t>Total horas de trabajo x persona</t>
  </si>
  <si>
    <t>Total horas de trabajo x equipo</t>
  </si>
  <si>
    <t xml:space="preserve">Internet(4 Meses) </t>
  </si>
  <si>
    <t>Luz(4 Meses)</t>
  </si>
  <si>
    <t>Total</t>
  </si>
  <si>
    <t>Total Servicios x Equipo de trabajo</t>
  </si>
  <si>
    <t>Vida util (meses)</t>
  </si>
  <si>
    <t>Meses de uso</t>
  </si>
  <si>
    <t>Subtotal</t>
  </si>
  <si>
    <t>Total computadoras</t>
  </si>
  <si>
    <t>Total Celulares</t>
  </si>
  <si>
    <t>Valor Original</t>
  </si>
  <si>
    <t>Total depreciacion de equipos</t>
  </si>
  <si>
    <t>Depreciación por persona</t>
  </si>
  <si>
    <t>Depreciación mensual</t>
  </si>
  <si>
    <t>Depreciación semanal</t>
  </si>
  <si>
    <t>Depreciación diaria</t>
  </si>
  <si>
    <t>Depreciación por hora</t>
  </si>
  <si>
    <t>Actividades</t>
  </si>
  <si>
    <t>Responsable</t>
  </si>
  <si>
    <t>Costo RH</t>
  </si>
  <si>
    <t>Costo material</t>
  </si>
  <si>
    <t>G4</t>
  </si>
  <si>
    <t>Product Owner</t>
  </si>
  <si>
    <t>Subtotal Fase 1</t>
  </si>
  <si>
    <t>Subtotal Fase 2</t>
  </si>
  <si>
    <t>Subtotal Fase 3</t>
  </si>
  <si>
    <t>Defensa interfaces</t>
  </si>
  <si>
    <t>Defensa documento SRS</t>
  </si>
  <si>
    <t>Fase 5: Administrar</t>
  </si>
  <si>
    <t>Organización y mantenimiento del backlog</t>
  </si>
  <si>
    <t>Reuniones con la ingeniera</t>
  </si>
  <si>
    <t>Gastos operativos</t>
  </si>
  <si>
    <t>Fase 1: Elicitacion</t>
  </si>
  <si>
    <t>Banco de preguntas</t>
  </si>
  <si>
    <t>Planificacion entrevista</t>
  </si>
  <si>
    <t>Ejecucion entrevista</t>
  </si>
  <si>
    <t>Minuta entrevista</t>
  </si>
  <si>
    <t>Defensa entrevista</t>
  </si>
  <si>
    <t>Planificacion brainstorming</t>
  </si>
  <si>
    <t>Ejecucion brainstorming</t>
  </si>
  <si>
    <t>Defensa brainstorming</t>
  </si>
  <si>
    <t>Acta de reunion brainstorming</t>
  </si>
  <si>
    <t>Danny Ayuquina</t>
  </si>
  <si>
    <t>Martin Cordero</t>
  </si>
  <si>
    <t>Concepto por persona x hora</t>
  </si>
  <si>
    <t>Ing. De requisitos</t>
  </si>
  <si>
    <t>Gasto operativo por hora</t>
  </si>
  <si>
    <t>Persona 1</t>
  </si>
  <si>
    <t>Persona 2</t>
  </si>
  <si>
    <t>Persona 3</t>
  </si>
  <si>
    <t>Costo Material x hora - persona 1</t>
  </si>
  <si>
    <t>Costo Material x hora - persona 2</t>
  </si>
  <si>
    <t>Costo Material x hora - persona 3</t>
  </si>
  <si>
    <t>Total x persona</t>
  </si>
  <si>
    <t>Integrante</t>
  </si>
  <si>
    <t>Costo*hora</t>
  </si>
  <si>
    <t>Ingeniero de requisitos</t>
  </si>
  <si>
    <t>Diseñador UI/UX</t>
  </si>
  <si>
    <t>Fase 2: Analisis</t>
  </si>
  <si>
    <t>Diagrama CU situacion actual</t>
  </si>
  <si>
    <t>Defensa CU situacion actual y arbol de problemas</t>
  </si>
  <si>
    <t>Arbol de problemas</t>
  </si>
  <si>
    <t>Ing. Req/ SM/ PO</t>
  </si>
  <si>
    <t>Modelo Conceptual Proyecto</t>
  </si>
  <si>
    <t>Redaccion RNF</t>
  </si>
  <si>
    <t>Redaccion documento SRS</t>
  </si>
  <si>
    <t>Fase 3: Analisis</t>
  </si>
  <si>
    <t>Fase 4: Verificar y ajustar</t>
  </si>
  <si>
    <t>Envio documentacion al G3</t>
  </si>
  <si>
    <t>Diseño de interfaces G3</t>
  </si>
  <si>
    <t>Subtotal Fase 4</t>
  </si>
  <si>
    <t>UI/UX</t>
  </si>
  <si>
    <t>Planificacion general del proyecto</t>
  </si>
  <si>
    <t>Gestion y seguimiento en Project</t>
  </si>
  <si>
    <t>Coordinacion del equipo</t>
  </si>
  <si>
    <t>Coordinacion defensas y entregas</t>
  </si>
  <si>
    <t>Revision y control de calidad</t>
  </si>
  <si>
    <t>Subtotal Fase 5</t>
  </si>
  <si>
    <t>Scrum Master/ Product Owner</t>
  </si>
  <si>
    <t>Total de proyecto por fases</t>
  </si>
  <si>
    <t>Levantamiento de requisitos (20%)</t>
  </si>
  <si>
    <t>Elaboracion del proyecto (80%)</t>
  </si>
  <si>
    <t>Presupuesto para contingencias (10%)</t>
  </si>
  <si>
    <t>TOTAL DEL PROYECTO</t>
  </si>
  <si>
    <t>Diagrama CU propuesta solucion 2</t>
  </si>
  <si>
    <t>Descripcion CU Propuesta Sol.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</si>
</sst>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8" formatCode="&quot;$&quot;#,##0.00;[Red]&quot;$&quot;\-#,##0.00"/>
    <numFmt numFmtId="44" formatCode="_ &quot;$&quot;* #,##0.00_ ;_ &quot;$&quot;* \-#,##0.00_ ;_ &quot;$&quot;* &quot;-&quot;??_ ;_ @_ 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8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6" fontId="0" fillId="0" borderId="0" xfId="0" applyNumberFormat="1" applyFill="1" applyBorder="1" applyAlignment="1">
      <alignment horizontal="left"/>
    </xf>
    <xf numFmtId="0" fontId="2" fillId="0" borderId="0" xfId="0" applyFont="1"/>
    <xf numFmtId="0" fontId="0" fillId="0" borderId="0" xfId="0" applyBorder="1"/>
    <xf numFmtId="0" fontId="1" fillId="0" borderId="1" xfId="0" applyFont="1" applyFill="1" applyBorder="1"/>
    <xf numFmtId="8" fontId="4" fillId="0" borderId="1" xfId="0" applyNumberFormat="1" applyFont="1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ill="1" applyBorder="1"/>
    <xf numFmtId="8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0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Fill="1" applyBorder="1"/>
    <xf numFmtId="8" fontId="0" fillId="0" borderId="0" xfId="0" applyNumberFormat="1" applyBorder="1" applyAlignment="1">
      <alignment horizontal="left"/>
    </xf>
    <xf numFmtId="6" fontId="0" fillId="0" borderId="0" xfId="0" applyNumberFormat="1" applyBorder="1" applyAlignment="1">
      <alignment horizontal="left"/>
    </xf>
    <xf numFmtId="0" fontId="0" fillId="0" borderId="0" xfId="0" applyFill="1" applyBorder="1"/>
    <xf numFmtId="6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/>
    <xf numFmtId="0" fontId="3" fillId="4" borderId="1" xfId="0" applyFont="1" applyFill="1" applyBorder="1"/>
    <xf numFmtId="44" fontId="0" fillId="0" borderId="1" xfId="0" applyNumberFormat="1" applyBorder="1"/>
    <xf numFmtId="164" fontId="0" fillId="0" borderId="0" xfId="0" applyNumberFormat="1"/>
    <xf numFmtId="164" fontId="1" fillId="0" borderId="1" xfId="0" applyNumberFormat="1" applyFont="1" applyBorder="1"/>
    <xf numFmtId="164" fontId="0" fillId="0" borderId="2" xfId="0" applyNumberFormat="1" applyBorder="1"/>
    <xf numFmtId="0" fontId="0" fillId="5" borderId="2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19" workbookViewId="0"/>
  </sheetViews>
  <sheetFormatPr baseColWidth="10" defaultColWidth="9.109375" defaultRowHeight="14.4" x14ac:dyDescent="0.3"/>
  <cols>
    <col min="1" max="1" width="50.6640625" customWidth="1"/>
    <col min="2" max="2" width="22.6640625" customWidth="1"/>
    <col min="3" max="3" width="27.6640625" customWidth="1"/>
  </cols>
  <sheetData>
    <row r="1" spans="1:3" x14ac:dyDescent="0.3">
      <c r="A1" t="s">
        <v>53</v>
      </c>
    </row>
    <row r="3" spans="1:3" x14ac:dyDescent="0.3">
      <c r="A3" t="s">
        <v>0</v>
      </c>
    </row>
    <row r="5" spans="1:3" x14ac:dyDescent="0.3">
      <c r="A5" t="s">
        <v>1</v>
      </c>
      <c r="B5" t="s">
        <v>27</v>
      </c>
      <c r="C5" t="s">
        <v>34</v>
      </c>
    </row>
    <row r="6" spans="1:3" x14ac:dyDescent="0.3">
      <c r="A6" t="s">
        <v>2</v>
      </c>
      <c r="B6" t="s">
        <v>28</v>
      </c>
      <c r="C6" t="s">
        <v>35</v>
      </c>
    </row>
    <row r="7" spans="1:3" x14ac:dyDescent="0.3">
      <c r="A7" t="s">
        <v>3</v>
      </c>
      <c r="B7" t="s">
        <v>28</v>
      </c>
      <c r="C7" t="s">
        <v>35</v>
      </c>
    </row>
    <row r="8" spans="1:3" x14ac:dyDescent="0.3">
      <c r="A8" t="s">
        <v>4</v>
      </c>
      <c r="B8" t="s">
        <v>28</v>
      </c>
      <c r="C8" t="s">
        <v>35</v>
      </c>
    </row>
    <row r="10" spans="1:3" x14ac:dyDescent="0.3">
      <c r="A10" t="s">
        <v>5</v>
      </c>
      <c r="C10" t="s">
        <v>36</v>
      </c>
    </row>
    <row r="12" spans="1:3" x14ac:dyDescent="0.3">
      <c r="A12" t="s">
        <v>6</v>
      </c>
    </row>
    <row r="14" spans="1:3" x14ac:dyDescent="0.3">
      <c r="A14" t="s">
        <v>7</v>
      </c>
      <c r="B14" t="s">
        <v>29</v>
      </c>
      <c r="C14" t="s">
        <v>37</v>
      </c>
    </row>
    <row r="15" spans="1:3" x14ac:dyDescent="0.3">
      <c r="A15" t="s">
        <v>8</v>
      </c>
      <c r="B15" t="s">
        <v>30</v>
      </c>
      <c r="C15" t="s">
        <v>38</v>
      </c>
    </row>
    <row r="16" spans="1:3" x14ac:dyDescent="0.3">
      <c r="A16" t="s">
        <v>9</v>
      </c>
      <c r="B16" t="s">
        <v>31</v>
      </c>
      <c r="C16" t="s">
        <v>39</v>
      </c>
    </row>
    <row r="17" spans="1:3" x14ac:dyDescent="0.3">
      <c r="A17" t="s">
        <v>10</v>
      </c>
      <c r="B17" t="s">
        <v>31</v>
      </c>
      <c r="C17" t="s">
        <v>39</v>
      </c>
    </row>
    <row r="18" spans="1:3" x14ac:dyDescent="0.3">
      <c r="A18" t="s">
        <v>11</v>
      </c>
      <c r="C18" t="s">
        <v>40</v>
      </c>
    </row>
    <row r="20" spans="1:3" x14ac:dyDescent="0.3">
      <c r="A20" t="s">
        <v>12</v>
      </c>
      <c r="B20" t="s">
        <v>29</v>
      </c>
      <c r="C20" t="s">
        <v>37</v>
      </c>
    </row>
    <row r="21" spans="1:3" x14ac:dyDescent="0.3">
      <c r="A21" t="s">
        <v>13</v>
      </c>
      <c r="B21" t="s">
        <v>32</v>
      </c>
      <c r="C21" t="s">
        <v>41</v>
      </c>
    </row>
    <row r="22" spans="1:3" x14ac:dyDescent="0.3">
      <c r="A22" t="s">
        <v>14</v>
      </c>
      <c r="B22" t="s">
        <v>33</v>
      </c>
      <c r="C22" t="s">
        <v>42</v>
      </c>
    </row>
    <row r="23" spans="1:3" x14ac:dyDescent="0.3">
      <c r="A23" t="s">
        <v>15</v>
      </c>
      <c r="B23" t="s">
        <v>33</v>
      </c>
      <c r="C23" t="s">
        <v>42</v>
      </c>
    </row>
    <row r="24" spans="1:3" x14ac:dyDescent="0.3">
      <c r="A24" t="s">
        <v>16</v>
      </c>
      <c r="C24" t="s">
        <v>43</v>
      </c>
    </row>
    <row r="26" spans="1:3" x14ac:dyDescent="0.3">
      <c r="A26" t="s">
        <v>17</v>
      </c>
    </row>
    <row r="28" spans="1:3" x14ac:dyDescent="0.3">
      <c r="A28" t="s">
        <v>18</v>
      </c>
      <c r="C28" t="s">
        <v>44</v>
      </c>
    </row>
    <row r="29" spans="1:3" x14ac:dyDescent="0.3">
      <c r="A29" t="s">
        <v>19</v>
      </c>
      <c r="C29" t="s">
        <v>45</v>
      </c>
    </row>
    <row r="30" spans="1:3" x14ac:dyDescent="0.3">
      <c r="A30" t="s">
        <v>20</v>
      </c>
      <c r="C30" t="s">
        <v>46</v>
      </c>
    </row>
    <row r="31" spans="1:3" x14ac:dyDescent="0.3">
      <c r="A31" t="s">
        <v>21</v>
      </c>
      <c r="C31" t="s">
        <v>47</v>
      </c>
    </row>
    <row r="32" spans="1:3" x14ac:dyDescent="0.3">
      <c r="A32" t="s">
        <v>22</v>
      </c>
      <c r="C32" t="s">
        <v>48</v>
      </c>
    </row>
    <row r="34" spans="1:3" x14ac:dyDescent="0.3">
      <c r="A34" t="s">
        <v>23</v>
      </c>
      <c r="C34" t="s">
        <v>49</v>
      </c>
    </row>
    <row r="35" spans="1:3" x14ac:dyDescent="0.3">
      <c r="A35" t="s">
        <v>24</v>
      </c>
      <c r="C35" t="s">
        <v>50</v>
      </c>
    </row>
    <row r="36" spans="1:3" x14ac:dyDescent="0.3">
      <c r="A36" t="s">
        <v>25</v>
      </c>
      <c r="C36" t="s">
        <v>51</v>
      </c>
    </row>
    <row r="37" spans="1:3" x14ac:dyDescent="0.3">
      <c r="A37" t="s">
        <v>26</v>
      </c>
      <c r="C3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545D-FD88-47DA-996D-B417E2B7ACB9}">
  <dimension ref="A1:B21"/>
  <sheetViews>
    <sheetView workbookViewId="0">
      <selection activeCell="D17" sqref="D17"/>
    </sheetView>
  </sheetViews>
  <sheetFormatPr baseColWidth="10" defaultRowHeight="14.4" x14ac:dyDescent="0.3"/>
  <cols>
    <col min="1" max="1" width="27.77734375" customWidth="1"/>
    <col min="2" max="2" width="47.33203125" customWidth="1"/>
  </cols>
  <sheetData>
    <row r="1" spans="1:2" x14ac:dyDescent="0.3">
      <c r="A1" s="12" t="s">
        <v>146</v>
      </c>
      <c r="B1" s="12" t="s">
        <v>151</v>
      </c>
    </row>
    <row r="2" spans="1:2" x14ac:dyDescent="0.3">
      <c r="A2" s="2" t="s">
        <v>147</v>
      </c>
      <c r="B2" s="2">
        <v>1</v>
      </c>
    </row>
    <row r="3" spans="1:2" x14ac:dyDescent="0.3">
      <c r="A3" s="2" t="s">
        <v>148</v>
      </c>
      <c r="B3" s="11">
        <v>46037</v>
      </c>
    </row>
    <row r="4" spans="1:2" x14ac:dyDescent="0.3">
      <c r="A4" s="2" t="s">
        <v>149</v>
      </c>
      <c r="B4" s="2">
        <v>4</v>
      </c>
    </row>
    <row r="5" spans="1:2" x14ac:dyDescent="0.3">
      <c r="A5" s="2" t="s">
        <v>150</v>
      </c>
      <c r="B5" s="2" t="s">
        <v>152</v>
      </c>
    </row>
    <row r="6" spans="1:2" x14ac:dyDescent="0.3">
      <c r="B6" s="2" t="s">
        <v>154</v>
      </c>
    </row>
    <row r="7" spans="1:2" x14ac:dyDescent="0.3">
      <c r="B7" s="2" t="s">
        <v>155</v>
      </c>
    </row>
    <row r="9" spans="1:2" x14ac:dyDescent="0.3">
      <c r="A9" s="12" t="s">
        <v>156</v>
      </c>
      <c r="B9" s="12" t="s">
        <v>157</v>
      </c>
    </row>
    <row r="10" spans="1:2" x14ac:dyDescent="0.3">
      <c r="A10" s="2" t="s">
        <v>158</v>
      </c>
      <c r="B10" s="2">
        <v>2</v>
      </c>
    </row>
    <row r="11" spans="1:2" x14ac:dyDescent="0.3">
      <c r="A11" s="2" t="s">
        <v>159</v>
      </c>
      <c r="B11" s="2">
        <v>1</v>
      </c>
    </row>
    <row r="12" spans="1:2" x14ac:dyDescent="0.3">
      <c r="A12" s="3" t="s">
        <v>160</v>
      </c>
      <c r="B12" s="3">
        <f>SUM(B10+B11)</f>
        <v>3</v>
      </c>
    </row>
    <row r="14" spans="1:2" x14ac:dyDescent="0.3">
      <c r="A14" s="12" t="s">
        <v>161</v>
      </c>
      <c r="B14" s="12"/>
    </row>
    <row r="15" spans="1:2" x14ac:dyDescent="0.3">
      <c r="A15" s="2" t="s">
        <v>162</v>
      </c>
      <c r="B15" s="2">
        <v>3</v>
      </c>
    </row>
    <row r="16" spans="1:2" x14ac:dyDescent="0.3">
      <c r="A16" s="3" t="s">
        <v>163</v>
      </c>
      <c r="B16" s="3">
        <f>B12*B15</f>
        <v>9</v>
      </c>
    </row>
    <row r="18" spans="1:2" x14ac:dyDescent="0.3">
      <c r="A18" s="12" t="s">
        <v>164</v>
      </c>
      <c r="B18" s="12"/>
    </row>
    <row r="19" spans="1:2" x14ac:dyDescent="0.3">
      <c r="A19" s="2" t="s">
        <v>165</v>
      </c>
      <c r="B19" s="2">
        <v>16</v>
      </c>
    </row>
    <row r="20" spans="1:2" x14ac:dyDescent="0.3">
      <c r="A20" s="2" t="s">
        <v>166</v>
      </c>
      <c r="B20" s="2">
        <f>B19*B16</f>
        <v>144</v>
      </c>
    </row>
    <row r="21" spans="1:2" x14ac:dyDescent="0.3">
      <c r="A21" s="3" t="s">
        <v>167</v>
      </c>
      <c r="B21" s="3">
        <f>B20*3</f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="85" zoomScaleNormal="85" workbookViewId="0">
      <selection activeCell="C26" sqref="C26"/>
    </sheetView>
  </sheetViews>
  <sheetFormatPr baseColWidth="10" defaultColWidth="9.109375" defaultRowHeight="14.4" x14ac:dyDescent="0.3"/>
  <cols>
    <col min="1" max="1" width="50.6640625" customWidth="1"/>
    <col min="2" max="2" width="14.6640625" customWidth="1"/>
    <col min="3" max="3" width="34.6640625" customWidth="1"/>
    <col min="5" max="5" width="33.88671875" customWidth="1"/>
    <col min="6" max="6" width="16" customWidth="1"/>
    <col min="7" max="7" width="28.21875" customWidth="1"/>
  </cols>
  <sheetData>
    <row r="1" spans="1:7" x14ac:dyDescent="0.3">
      <c r="A1" s="4" t="s">
        <v>79</v>
      </c>
    </row>
    <row r="3" spans="1:7" x14ac:dyDescent="0.3">
      <c r="A3" s="12" t="s">
        <v>54</v>
      </c>
      <c r="B3" s="12" t="s">
        <v>63</v>
      </c>
      <c r="C3" s="12" t="s">
        <v>71</v>
      </c>
    </row>
    <row r="4" spans="1:7" x14ac:dyDescent="0.3">
      <c r="A4" s="2" t="s">
        <v>55</v>
      </c>
      <c r="B4" s="2" t="s">
        <v>64</v>
      </c>
      <c r="C4" s="2" t="s">
        <v>72</v>
      </c>
    </row>
    <row r="5" spans="1:7" x14ac:dyDescent="0.3">
      <c r="A5" s="2" t="s">
        <v>56</v>
      </c>
      <c r="B5" s="2" t="s">
        <v>65</v>
      </c>
      <c r="C5" s="2" t="s">
        <v>73</v>
      </c>
    </row>
    <row r="6" spans="1:7" x14ac:dyDescent="0.3">
      <c r="A6" s="2" t="s">
        <v>57</v>
      </c>
      <c r="B6" s="2" t="s">
        <v>66</v>
      </c>
      <c r="C6" s="2" t="s">
        <v>74</v>
      </c>
    </row>
    <row r="8" spans="1:7" x14ac:dyDescent="0.3">
      <c r="A8" s="3" t="s">
        <v>107</v>
      </c>
      <c r="B8" s="2"/>
      <c r="C8" s="2"/>
      <c r="E8" s="13" t="s">
        <v>106</v>
      </c>
      <c r="F8" s="12"/>
      <c r="G8" s="12"/>
    </row>
    <row r="9" spans="1:7" x14ac:dyDescent="0.3">
      <c r="A9" s="12" t="s">
        <v>58</v>
      </c>
      <c r="B9" s="12" t="s">
        <v>67</v>
      </c>
      <c r="C9" s="12" t="s">
        <v>75</v>
      </c>
      <c r="E9" s="2" t="s">
        <v>58</v>
      </c>
      <c r="F9" s="2" t="s">
        <v>67</v>
      </c>
      <c r="G9" s="2" t="s">
        <v>75</v>
      </c>
    </row>
    <row r="10" spans="1:7" x14ac:dyDescent="0.3">
      <c r="A10" s="2" t="s">
        <v>59</v>
      </c>
      <c r="B10" s="2" t="s">
        <v>108</v>
      </c>
      <c r="C10" s="2" t="s">
        <v>76</v>
      </c>
      <c r="E10" s="2" t="s">
        <v>59</v>
      </c>
      <c r="F10" s="2" t="s">
        <v>28</v>
      </c>
      <c r="G10" s="2" t="s">
        <v>76</v>
      </c>
    </row>
    <row r="11" spans="1:7" x14ac:dyDescent="0.3">
      <c r="A11" s="2" t="s">
        <v>60</v>
      </c>
      <c r="B11" s="2" t="s">
        <v>109</v>
      </c>
      <c r="C11" s="2" t="s">
        <v>110</v>
      </c>
      <c r="E11" s="2" t="s">
        <v>60</v>
      </c>
      <c r="F11" s="2" t="s">
        <v>68</v>
      </c>
      <c r="G11" s="2" t="s">
        <v>77</v>
      </c>
    </row>
    <row r="12" spans="1:7" x14ac:dyDescent="0.3">
      <c r="A12" s="2" t="s">
        <v>61</v>
      </c>
      <c r="B12" s="2" t="s">
        <v>69</v>
      </c>
      <c r="C12" s="2" t="s">
        <v>78</v>
      </c>
      <c r="E12" s="2" t="s">
        <v>61</v>
      </c>
      <c r="F12" s="2" t="s">
        <v>69</v>
      </c>
      <c r="G12" s="2" t="s">
        <v>78</v>
      </c>
    </row>
    <row r="13" spans="1:7" x14ac:dyDescent="0.3">
      <c r="A13" s="2" t="s">
        <v>62</v>
      </c>
      <c r="B13" s="2" t="s">
        <v>111</v>
      </c>
      <c r="C13" s="2" t="s">
        <v>112</v>
      </c>
      <c r="E13" s="2" t="s">
        <v>62</v>
      </c>
      <c r="F13" s="2" t="s">
        <v>70</v>
      </c>
      <c r="G13" s="2" t="s">
        <v>35</v>
      </c>
    </row>
    <row r="14" spans="1:7" x14ac:dyDescent="0.3">
      <c r="A14" s="9" t="s">
        <v>115</v>
      </c>
      <c r="B14" s="3"/>
      <c r="C14" s="15">
        <v>562.67999999999995</v>
      </c>
      <c r="E14" s="9" t="s">
        <v>114</v>
      </c>
      <c r="F14" s="3" t="s">
        <v>113</v>
      </c>
      <c r="G14" s="16">
        <v>900</v>
      </c>
    </row>
    <row r="16" spans="1:7" x14ac:dyDescent="0.3">
      <c r="A16" s="13" t="s">
        <v>124</v>
      </c>
      <c r="B16" s="10">
        <f>SUM(C14+G14)</f>
        <v>1462.6799999999998</v>
      </c>
    </row>
    <row r="20" spans="1:1" x14ac:dyDescent="0.3">
      <c r="A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zoomScaleNormal="100" workbookViewId="0">
      <selection activeCell="J6" sqref="J6"/>
    </sheetView>
  </sheetViews>
  <sheetFormatPr baseColWidth="10" defaultColWidth="9.109375" defaultRowHeight="14.4" x14ac:dyDescent="0.3"/>
  <cols>
    <col min="1" max="1" width="49.5546875" customWidth="1"/>
    <col min="2" max="2" width="24.33203125" customWidth="1"/>
    <col min="3" max="4" width="20.6640625" customWidth="1"/>
    <col min="5" max="5" width="21.5546875" customWidth="1"/>
    <col min="6" max="6" width="26.109375" customWidth="1"/>
    <col min="7" max="8" width="22.6640625" customWidth="1"/>
    <col min="9" max="9" width="19.5546875" customWidth="1"/>
    <col min="10" max="10" width="21.88671875" customWidth="1"/>
    <col min="11" max="11" width="12.6640625" customWidth="1"/>
    <col min="12" max="12" width="21.6640625" customWidth="1"/>
    <col min="13" max="13" width="19.21875" customWidth="1"/>
    <col min="14" max="14" width="12.44140625" customWidth="1"/>
    <col min="15" max="15" width="20.77734375" customWidth="1"/>
    <col min="16" max="16" width="21.77734375" customWidth="1"/>
  </cols>
  <sheetData>
    <row r="1" spans="1:16" x14ac:dyDescent="0.3">
      <c r="A1" s="4" t="s">
        <v>84</v>
      </c>
    </row>
    <row r="2" spans="1:16" x14ac:dyDescent="0.3">
      <c r="A2" s="4"/>
    </row>
    <row r="3" spans="1:16" x14ac:dyDescent="0.3">
      <c r="A3" s="4" t="s">
        <v>80</v>
      </c>
    </row>
    <row r="4" spans="1:16" x14ac:dyDescent="0.3">
      <c r="I4" s="37" t="s">
        <v>214</v>
      </c>
      <c r="J4" s="37"/>
      <c r="L4" s="37" t="s">
        <v>215</v>
      </c>
      <c r="M4" s="37"/>
      <c r="O4" s="37" t="s">
        <v>216</v>
      </c>
      <c r="P4" s="37"/>
    </row>
    <row r="5" spans="1:16" x14ac:dyDescent="0.3">
      <c r="A5" s="18" t="s">
        <v>81</v>
      </c>
      <c r="B5" s="18" t="s">
        <v>117</v>
      </c>
      <c r="C5" s="18" t="s">
        <v>177</v>
      </c>
      <c r="D5" s="18" t="s">
        <v>172</v>
      </c>
      <c r="E5" s="18" t="s">
        <v>37</v>
      </c>
      <c r="F5" s="18" t="s">
        <v>173</v>
      </c>
      <c r="G5" s="18" t="s">
        <v>174</v>
      </c>
      <c r="I5" s="36" t="s">
        <v>179</v>
      </c>
      <c r="J5" s="36"/>
      <c r="K5" s="20"/>
      <c r="L5" s="36" t="s">
        <v>179</v>
      </c>
      <c r="M5" s="36"/>
      <c r="N5" s="4"/>
      <c r="O5" s="36" t="s">
        <v>179</v>
      </c>
      <c r="P5" s="36"/>
    </row>
    <row r="6" spans="1:16" x14ac:dyDescent="0.3">
      <c r="A6" s="2" t="s">
        <v>8</v>
      </c>
      <c r="B6" s="2" t="s">
        <v>118</v>
      </c>
      <c r="C6" s="24">
        <v>1000</v>
      </c>
      <c r="D6" s="5">
        <v>36</v>
      </c>
      <c r="E6" s="25">
        <f>C6/D6</f>
        <v>27.777777777777779</v>
      </c>
      <c r="F6" s="2">
        <v>4</v>
      </c>
      <c r="G6" s="25">
        <f>F6*E6</f>
        <v>111.11111111111111</v>
      </c>
      <c r="I6" s="27" t="s">
        <v>180</v>
      </c>
      <c r="J6" s="28">
        <f>G6/4</f>
        <v>27.777777777777779</v>
      </c>
      <c r="K6" s="22"/>
      <c r="L6" s="27" t="s">
        <v>180</v>
      </c>
      <c r="M6" s="28">
        <f>G7/4</f>
        <v>23.611111111111111</v>
      </c>
      <c r="N6" s="1"/>
      <c r="O6" s="27" t="s">
        <v>180</v>
      </c>
      <c r="P6" s="28">
        <f>G8/4</f>
        <v>33.333333333333336</v>
      </c>
    </row>
    <row r="7" spans="1:16" x14ac:dyDescent="0.3">
      <c r="A7" s="2" t="s">
        <v>9</v>
      </c>
      <c r="B7" s="2" t="s">
        <v>119</v>
      </c>
      <c r="C7" s="24">
        <v>850</v>
      </c>
      <c r="D7" s="5">
        <v>36</v>
      </c>
      <c r="E7" s="25">
        <f t="shared" ref="E7:E8" si="0">C7/D7</f>
        <v>23.611111111111111</v>
      </c>
      <c r="F7" s="14">
        <v>4</v>
      </c>
      <c r="G7" s="25">
        <f t="shared" ref="G7:G8" si="1">F7*E7</f>
        <v>94.444444444444443</v>
      </c>
      <c r="I7" s="27" t="s">
        <v>181</v>
      </c>
      <c r="J7" s="28">
        <f>J6/4</f>
        <v>6.9444444444444446</v>
      </c>
      <c r="K7" s="22"/>
      <c r="L7" s="27" t="s">
        <v>181</v>
      </c>
      <c r="M7" s="28">
        <f>M6/4</f>
        <v>5.9027777777777777</v>
      </c>
      <c r="O7" s="27" t="s">
        <v>181</v>
      </c>
      <c r="P7" s="28">
        <f>P6/4</f>
        <v>8.3333333333333339</v>
      </c>
    </row>
    <row r="8" spans="1:16" x14ac:dyDescent="0.3">
      <c r="A8" s="2" t="s">
        <v>10</v>
      </c>
      <c r="B8" s="2" t="s">
        <v>120</v>
      </c>
      <c r="C8" s="24">
        <v>1200</v>
      </c>
      <c r="D8" s="5">
        <v>36</v>
      </c>
      <c r="E8" s="25">
        <f t="shared" si="0"/>
        <v>33.333333333333336</v>
      </c>
      <c r="F8" s="2">
        <v>4</v>
      </c>
      <c r="G8" s="25">
        <f t="shared" si="1"/>
        <v>133.33333333333334</v>
      </c>
      <c r="I8" s="27" t="s">
        <v>182</v>
      </c>
      <c r="J8" s="28">
        <f>J7/3</f>
        <v>2.3148148148148149</v>
      </c>
      <c r="K8" s="22"/>
      <c r="L8" s="27" t="s">
        <v>182</v>
      </c>
      <c r="M8" s="28">
        <f>M7/3</f>
        <v>1.9675925925925926</v>
      </c>
      <c r="O8" s="27" t="s">
        <v>182</v>
      </c>
      <c r="P8" s="28">
        <f>P7/3</f>
        <v>2.7777777777777781</v>
      </c>
    </row>
    <row r="9" spans="1:16" x14ac:dyDescent="0.3">
      <c r="A9" s="9" t="s">
        <v>175</v>
      </c>
      <c r="B9" s="2"/>
      <c r="C9" s="2"/>
      <c r="D9" s="2"/>
      <c r="E9" s="2"/>
      <c r="F9" s="2"/>
      <c r="G9" s="25">
        <f>SUM(G6:G8)</f>
        <v>338.88888888888891</v>
      </c>
      <c r="H9" s="8"/>
      <c r="I9" s="27" t="s">
        <v>183</v>
      </c>
      <c r="J9" s="28">
        <f>J8/3</f>
        <v>0.77160493827160492</v>
      </c>
      <c r="K9" s="8"/>
      <c r="L9" s="27" t="s">
        <v>183</v>
      </c>
      <c r="M9" s="28">
        <f>M8/3</f>
        <v>0.65586419753086422</v>
      </c>
      <c r="O9" s="27" t="s">
        <v>183</v>
      </c>
      <c r="P9" s="28">
        <f>P8/3</f>
        <v>0.92592592592592604</v>
      </c>
    </row>
    <row r="10" spans="1:16" x14ac:dyDescent="0.3">
      <c r="A10" s="8"/>
      <c r="B10" s="8"/>
      <c r="C10" s="8"/>
      <c r="D10" s="8"/>
      <c r="E10" s="8"/>
      <c r="F10" s="8"/>
      <c r="G10" s="8"/>
      <c r="H10" s="8"/>
      <c r="I10" s="23"/>
      <c r="J10" s="23"/>
      <c r="K10" s="6"/>
    </row>
    <row r="11" spans="1:16" x14ac:dyDescent="0.3">
      <c r="I11" s="23"/>
      <c r="J11" s="23"/>
    </row>
    <row r="12" spans="1:16" x14ac:dyDescent="0.3">
      <c r="A12" s="4" t="s">
        <v>82</v>
      </c>
      <c r="I12" s="23"/>
      <c r="J12" s="23"/>
    </row>
    <row r="13" spans="1:16" x14ac:dyDescent="0.3">
      <c r="I13" s="23"/>
      <c r="J13" s="23"/>
    </row>
    <row r="14" spans="1:16" x14ac:dyDescent="0.3">
      <c r="A14" s="18" t="s">
        <v>81</v>
      </c>
      <c r="B14" s="18" t="s">
        <v>117</v>
      </c>
      <c r="C14" s="18" t="s">
        <v>177</v>
      </c>
      <c r="D14" s="18" t="s">
        <v>83</v>
      </c>
      <c r="E14" s="18" t="s">
        <v>37</v>
      </c>
      <c r="F14" s="18" t="s">
        <v>173</v>
      </c>
      <c r="G14" s="18" t="s">
        <v>174</v>
      </c>
      <c r="I14" s="37" t="s">
        <v>214</v>
      </c>
      <c r="J14" s="37"/>
      <c r="L14" s="37" t="s">
        <v>215</v>
      </c>
      <c r="M14" s="37"/>
      <c r="O14" s="37" t="s">
        <v>216</v>
      </c>
      <c r="P14" s="37"/>
    </row>
    <row r="15" spans="1:16" x14ac:dyDescent="0.3">
      <c r="A15" s="2" t="s">
        <v>13</v>
      </c>
      <c r="B15" s="2" t="s">
        <v>121</v>
      </c>
      <c r="C15" s="24">
        <v>150</v>
      </c>
      <c r="D15" s="2" t="s">
        <v>66</v>
      </c>
      <c r="E15" s="25">
        <f>C15/D15</f>
        <v>4.166666666666667</v>
      </c>
      <c r="F15" s="2">
        <v>4</v>
      </c>
      <c r="G15" s="25">
        <f>E15*F15</f>
        <v>16.666666666666668</v>
      </c>
      <c r="I15" s="36" t="s">
        <v>179</v>
      </c>
      <c r="J15" s="36"/>
      <c r="L15" s="36" t="s">
        <v>179</v>
      </c>
      <c r="M15" s="36"/>
      <c r="O15" s="36" t="s">
        <v>179</v>
      </c>
      <c r="P15" s="36"/>
    </row>
    <row r="16" spans="1:16" x14ac:dyDescent="0.3">
      <c r="A16" s="2" t="s">
        <v>14</v>
      </c>
      <c r="B16" s="2" t="s">
        <v>122</v>
      </c>
      <c r="C16" s="24">
        <v>400</v>
      </c>
      <c r="D16" s="2" t="s">
        <v>66</v>
      </c>
      <c r="E16" s="25">
        <f t="shared" ref="E16:E17" si="2">C16/D16</f>
        <v>11.111111111111111</v>
      </c>
      <c r="F16" s="2">
        <v>4</v>
      </c>
      <c r="G16" s="25">
        <f t="shared" ref="G16:G17" si="3">E16*F16</f>
        <v>44.444444444444443</v>
      </c>
      <c r="H16" s="17"/>
      <c r="I16" s="27" t="s">
        <v>180</v>
      </c>
      <c r="J16" s="28">
        <f>G15/4</f>
        <v>4.166666666666667</v>
      </c>
      <c r="K16" s="20"/>
      <c r="L16" s="27" t="s">
        <v>180</v>
      </c>
      <c r="M16" s="28">
        <f>G16/4</f>
        <v>11.111111111111111</v>
      </c>
      <c r="O16" s="27" t="s">
        <v>180</v>
      </c>
      <c r="P16" s="28">
        <f>G17/4</f>
        <v>13.888888888888889</v>
      </c>
    </row>
    <row r="17" spans="1:16" x14ac:dyDescent="0.3">
      <c r="A17" s="2" t="s">
        <v>15</v>
      </c>
      <c r="B17" s="2" t="s">
        <v>123</v>
      </c>
      <c r="C17" s="24">
        <v>500</v>
      </c>
      <c r="D17" s="2" t="s">
        <v>66</v>
      </c>
      <c r="E17" s="25">
        <f t="shared" si="2"/>
        <v>13.888888888888889</v>
      </c>
      <c r="F17" s="2">
        <v>4</v>
      </c>
      <c r="G17" s="25">
        <f t="shared" si="3"/>
        <v>55.555555555555557</v>
      </c>
      <c r="H17" s="8"/>
      <c r="I17" s="27" t="s">
        <v>181</v>
      </c>
      <c r="J17" s="28">
        <f>J16/4</f>
        <v>1.0416666666666667</v>
      </c>
      <c r="K17" s="21"/>
      <c r="L17" s="27" t="s">
        <v>181</v>
      </c>
      <c r="M17" s="28">
        <f>M16/4</f>
        <v>2.7777777777777777</v>
      </c>
      <c r="O17" s="27" t="s">
        <v>181</v>
      </c>
      <c r="P17" s="28">
        <f>P16/4</f>
        <v>3.4722222222222223</v>
      </c>
    </row>
    <row r="18" spans="1:16" x14ac:dyDescent="0.3">
      <c r="A18" s="9" t="s">
        <v>176</v>
      </c>
      <c r="B18" s="2"/>
      <c r="C18" s="2"/>
      <c r="D18" s="2"/>
      <c r="E18" s="2"/>
      <c r="F18" s="2"/>
      <c r="G18" s="25">
        <f>SUM(G15:G17)</f>
        <v>116.66666666666667</v>
      </c>
      <c r="H18" s="8"/>
      <c r="I18" s="27" t="s">
        <v>182</v>
      </c>
      <c r="J18" s="28">
        <f>J17/3</f>
        <v>0.34722222222222227</v>
      </c>
      <c r="K18" s="22"/>
      <c r="L18" s="27" t="s">
        <v>182</v>
      </c>
      <c r="M18" s="28">
        <f>M17/3</f>
        <v>0.92592592592592593</v>
      </c>
      <c r="O18" s="27" t="s">
        <v>182</v>
      </c>
      <c r="P18" s="28">
        <f>P17/3</f>
        <v>1.1574074074074074</v>
      </c>
    </row>
    <row r="19" spans="1:16" x14ac:dyDescent="0.3">
      <c r="H19" s="8"/>
      <c r="I19" s="27" t="s">
        <v>183</v>
      </c>
      <c r="J19" s="28">
        <f>J18/3</f>
        <v>0.11574074074074076</v>
      </c>
      <c r="K19" s="21"/>
      <c r="L19" s="27" t="s">
        <v>183</v>
      </c>
      <c r="M19" s="28">
        <f>M18/3</f>
        <v>0.30864197530864196</v>
      </c>
      <c r="O19" s="27" t="s">
        <v>183</v>
      </c>
      <c r="P19" s="28">
        <f>P18/3</f>
        <v>0.38580246913580246</v>
      </c>
    </row>
    <row r="20" spans="1:16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6" x14ac:dyDescent="0.3">
      <c r="A21" s="8"/>
      <c r="B21" s="8"/>
      <c r="C21" s="8"/>
      <c r="D21" s="8"/>
      <c r="E21" s="8"/>
      <c r="F21" s="26" t="s">
        <v>178</v>
      </c>
      <c r="G21" s="25">
        <f>G9+G18</f>
        <v>455.5555555555556</v>
      </c>
      <c r="H21" s="8"/>
      <c r="I21" s="8"/>
      <c r="J21" s="8"/>
      <c r="K21" s="21"/>
    </row>
  </sheetData>
  <mergeCells count="12">
    <mergeCell ref="I5:J5"/>
    <mergeCell ref="I14:J14"/>
    <mergeCell ref="I4:J4"/>
    <mergeCell ref="L5:M5"/>
    <mergeCell ref="O5:P5"/>
    <mergeCell ref="L4:M4"/>
    <mergeCell ref="O4:P4"/>
    <mergeCell ref="I15:J15"/>
    <mergeCell ref="L14:M14"/>
    <mergeCell ref="L15:M15"/>
    <mergeCell ref="O14:P14"/>
    <mergeCell ref="O15:P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G24" sqref="G24"/>
    </sheetView>
  </sheetViews>
  <sheetFormatPr baseColWidth="10" defaultColWidth="9.109375" defaultRowHeight="14.4" x14ac:dyDescent="0.3"/>
  <cols>
    <col min="1" max="1" width="29.77734375" customWidth="1"/>
    <col min="2" max="2" width="24.21875" customWidth="1"/>
    <col min="3" max="3" width="22" customWidth="1"/>
    <col min="4" max="4" width="24" customWidth="1"/>
    <col min="5" max="5" width="21.44140625" customWidth="1"/>
    <col min="6" max="6" width="34.109375" customWidth="1"/>
    <col min="7" max="7" width="16.5546875" customWidth="1"/>
    <col min="8" max="8" width="16.109375" customWidth="1"/>
    <col min="9" max="10" width="15.21875" customWidth="1"/>
    <col min="11" max="12" width="20.33203125" customWidth="1"/>
    <col min="13" max="13" width="23.5546875" customWidth="1"/>
    <col min="14" max="14" width="21.6640625" customWidth="1"/>
    <col min="15" max="15" width="25.109375" customWidth="1"/>
    <col min="16" max="16" width="18.6640625" customWidth="1"/>
    <col min="17" max="17" width="17.77734375" customWidth="1"/>
    <col min="18" max="18" width="16.88671875" customWidth="1"/>
    <col min="19" max="21" width="19.88671875" customWidth="1"/>
    <col min="22" max="22" width="17.5546875" customWidth="1"/>
    <col min="23" max="23" width="14.5546875" customWidth="1"/>
    <col min="24" max="24" width="14.77734375" customWidth="1"/>
  </cols>
  <sheetData>
    <row r="1" spans="1:14" x14ac:dyDescent="0.3">
      <c r="A1" s="4" t="s">
        <v>85</v>
      </c>
    </row>
    <row r="2" spans="1:14" x14ac:dyDescent="0.3">
      <c r="N2" t="s">
        <v>143</v>
      </c>
    </row>
    <row r="3" spans="1:14" x14ac:dyDescent="0.3">
      <c r="A3" s="18" t="s">
        <v>125</v>
      </c>
      <c r="B3" s="18" t="s">
        <v>126</v>
      </c>
      <c r="C3" s="18" t="s">
        <v>142</v>
      </c>
      <c r="D3" s="18" t="s">
        <v>136</v>
      </c>
      <c r="E3" s="18" t="s">
        <v>128</v>
      </c>
      <c r="F3" s="18" t="s">
        <v>131</v>
      </c>
      <c r="G3" s="18" t="s">
        <v>168</v>
      </c>
      <c r="I3" s="18" t="s">
        <v>145</v>
      </c>
      <c r="J3" s="18" t="s">
        <v>144</v>
      </c>
    </row>
    <row r="4" spans="1:14" x14ac:dyDescent="0.3">
      <c r="A4" s="2" t="s">
        <v>133</v>
      </c>
      <c r="B4" s="2">
        <v>4</v>
      </c>
      <c r="C4" s="2">
        <v>32.5</v>
      </c>
      <c r="D4" s="2">
        <f>(C4/B4)</f>
        <v>8.125</v>
      </c>
      <c r="E4" s="25">
        <f>(D4/50)</f>
        <v>0.16250000000000001</v>
      </c>
      <c r="F4" s="2">
        <f>(E4*20)</f>
        <v>3.25</v>
      </c>
      <c r="G4" s="2">
        <f>(F4*4.5)</f>
        <v>14.625</v>
      </c>
      <c r="I4" s="2">
        <f>(J4/20)</f>
        <v>2</v>
      </c>
      <c r="J4" s="2">
        <v>40</v>
      </c>
    </row>
    <row r="5" spans="1:14" x14ac:dyDescent="0.3">
      <c r="A5" s="2" t="s">
        <v>134</v>
      </c>
      <c r="B5" s="2">
        <v>2</v>
      </c>
      <c r="C5" s="2">
        <v>16.37</v>
      </c>
      <c r="D5" s="2">
        <f>(C5/B5)</f>
        <v>8.1850000000000005</v>
      </c>
      <c r="E5" s="25">
        <f>(D5/50)</f>
        <v>0.16370000000000001</v>
      </c>
      <c r="F5" s="2">
        <f>(E5*20)</f>
        <v>3.274</v>
      </c>
      <c r="G5" s="2">
        <f>(F5*4.5)</f>
        <v>14.733000000000001</v>
      </c>
      <c r="I5" s="2">
        <f>(J5/20)</f>
        <v>1.5</v>
      </c>
      <c r="J5" s="2">
        <v>30</v>
      </c>
    </row>
    <row r="6" spans="1:14" x14ac:dyDescent="0.3">
      <c r="A6" s="2" t="s">
        <v>135</v>
      </c>
      <c r="B6" s="2">
        <v>4</v>
      </c>
      <c r="C6" s="2">
        <v>30</v>
      </c>
      <c r="D6" s="2">
        <f>(C6/B6)</f>
        <v>7.5</v>
      </c>
      <c r="E6" s="25">
        <f>(D6/50)</f>
        <v>0.15</v>
      </c>
      <c r="F6" s="2">
        <f>(E6*20)</f>
        <v>3</v>
      </c>
      <c r="G6" s="2">
        <f>(F6*4.5)</f>
        <v>13.5</v>
      </c>
      <c r="I6" s="2">
        <f>(J6/20)</f>
        <v>2</v>
      </c>
      <c r="J6" s="2">
        <v>40</v>
      </c>
    </row>
    <row r="7" spans="1:14" x14ac:dyDescent="0.3">
      <c r="A7" s="8"/>
      <c r="B7" s="8"/>
      <c r="C7" s="8"/>
      <c r="D7" s="8"/>
      <c r="E7" s="29">
        <f>SUM(E4:E6)</f>
        <v>0.47620000000000007</v>
      </c>
      <c r="F7" s="3" t="s">
        <v>170</v>
      </c>
      <c r="G7" s="3">
        <f>SUM(G4:G6)</f>
        <v>42.858000000000004</v>
      </c>
      <c r="I7" s="3" t="s">
        <v>170</v>
      </c>
      <c r="J7" s="19">
        <f>SUM(J4:J6)</f>
        <v>110</v>
      </c>
    </row>
    <row r="8" spans="1:14" x14ac:dyDescent="0.3">
      <c r="A8" s="8"/>
      <c r="B8" s="8"/>
      <c r="C8" s="8"/>
      <c r="D8" s="8"/>
    </row>
    <row r="9" spans="1:14" x14ac:dyDescent="0.3">
      <c r="A9" s="8"/>
      <c r="B9" s="8"/>
      <c r="C9" s="8"/>
      <c r="D9" s="8"/>
    </row>
    <row r="10" spans="1:14" x14ac:dyDescent="0.3">
      <c r="C10" s="18" t="s">
        <v>127</v>
      </c>
      <c r="D10" s="18" t="s">
        <v>129</v>
      </c>
      <c r="E10" s="18" t="s">
        <v>130</v>
      </c>
      <c r="F10" s="18" t="s">
        <v>132</v>
      </c>
      <c r="G10" s="18" t="s">
        <v>169</v>
      </c>
    </row>
    <row r="11" spans="1:14" x14ac:dyDescent="0.3">
      <c r="C11" s="2">
        <v>25</v>
      </c>
      <c r="D11" s="2">
        <f>(C11/B4)</f>
        <v>6.25</v>
      </c>
      <c r="E11" s="25">
        <f>(D11/50)</f>
        <v>0.125</v>
      </c>
      <c r="F11" s="2">
        <f>(E11*20)</f>
        <v>2.5</v>
      </c>
      <c r="G11" s="2">
        <f>(F11*4.5)</f>
        <v>11.25</v>
      </c>
    </row>
    <row r="12" spans="1:14" x14ac:dyDescent="0.3">
      <c r="C12" s="2">
        <v>16.37</v>
      </c>
      <c r="D12" s="2">
        <f>(C12/B5)</f>
        <v>8.1850000000000005</v>
      </c>
      <c r="E12" s="25">
        <f t="shared" ref="E12:E13" si="0">(D12/50)</f>
        <v>0.16370000000000001</v>
      </c>
      <c r="F12" s="2">
        <f t="shared" ref="F12:F13" si="1">(E12*20)</f>
        <v>3.274</v>
      </c>
      <c r="G12" s="2">
        <f>(F12*4.5)</f>
        <v>14.733000000000001</v>
      </c>
    </row>
    <row r="13" spans="1:14" x14ac:dyDescent="0.3">
      <c r="C13" s="2">
        <v>25</v>
      </c>
      <c r="D13" s="2">
        <f>(C13/B6)</f>
        <v>6.25</v>
      </c>
      <c r="E13" s="25">
        <f t="shared" si="0"/>
        <v>0.125</v>
      </c>
      <c r="F13" s="2">
        <f t="shared" si="1"/>
        <v>2.5</v>
      </c>
      <c r="G13" s="2">
        <f>(F13*4.5)</f>
        <v>11.25</v>
      </c>
    </row>
    <row r="14" spans="1:14" x14ac:dyDescent="0.3">
      <c r="E14" s="29">
        <f>SUM(E11:E13)</f>
        <v>0.41370000000000001</v>
      </c>
      <c r="F14" s="3" t="s">
        <v>170</v>
      </c>
      <c r="G14" s="3">
        <f>SUM(G11:G13)</f>
        <v>37.233000000000004</v>
      </c>
    </row>
    <row r="16" spans="1:14" x14ac:dyDescent="0.3">
      <c r="C16" s="18" t="s">
        <v>137</v>
      </c>
      <c r="D16" s="18" t="s">
        <v>138</v>
      </c>
      <c r="E16" s="18" t="s">
        <v>139</v>
      </c>
      <c r="F16" s="18" t="s">
        <v>140</v>
      </c>
      <c r="G16" s="18" t="s">
        <v>141</v>
      </c>
    </row>
    <row r="17" spans="3:13" x14ac:dyDescent="0.3">
      <c r="C17" s="2">
        <v>20</v>
      </c>
      <c r="D17" s="2">
        <f>(C17/B4)</f>
        <v>5</v>
      </c>
      <c r="E17" s="25">
        <f>(D17/50)</f>
        <v>0.1</v>
      </c>
      <c r="F17" s="2">
        <f>(E17*20)</f>
        <v>2</v>
      </c>
      <c r="G17" s="2">
        <f>(F17*4.5)</f>
        <v>9</v>
      </c>
    </row>
    <row r="18" spans="3:13" x14ac:dyDescent="0.3">
      <c r="C18" s="2">
        <v>16.37</v>
      </c>
      <c r="D18" s="2">
        <f>(C18/B5)</f>
        <v>8.1850000000000005</v>
      </c>
      <c r="E18" s="25">
        <f t="shared" ref="E18:E19" si="2">(D18/50)</f>
        <v>0.16370000000000001</v>
      </c>
      <c r="F18" s="2">
        <f t="shared" ref="F18:F19" si="3">(E18*20)</f>
        <v>3.274</v>
      </c>
      <c r="G18" s="2">
        <f>(F18*4.5)</f>
        <v>14.733000000000001</v>
      </c>
      <c r="M18" s="7"/>
    </row>
    <row r="19" spans="3:13" x14ac:dyDescent="0.3">
      <c r="C19" s="2">
        <v>15</v>
      </c>
      <c r="D19" s="2">
        <f>(C19/B6)</f>
        <v>3.75</v>
      </c>
      <c r="E19" s="25">
        <f t="shared" si="2"/>
        <v>7.4999999999999997E-2</v>
      </c>
      <c r="F19" s="2">
        <f t="shared" si="3"/>
        <v>1.5</v>
      </c>
      <c r="G19" s="2">
        <f>(F19*4.5)</f>
        <v>6.75</v>
      </c>
    </row>
    <row r="20" spans="3:13" x14ac:dyDescent="0.3">
      <c r="E20" s="29">
        <f>SUM(E17:E19)</f>
        <v>0.33870000000000006</v>
      </c>
      <c r="F20" s="3" t="s">
        <v>170</v>
      </c>
      <c r="G20" s="3">
        <f>SUM(G17:G19)</f>
        <v>30.483000000000001</v>
      </c>
    </row>
    <row r="22" spans="3:13" x14ac:dyDescent="0.3">
      <c r="F22" s="18" t="s">
        <v>171</v>
      </c>
      <c r="G22" s="3">
        <f>SUM(J7+G7+G14+G20)</f>
        <v>220.57400000000001</v>
      </c>
    </row>
    <row r="24" spans="3:13" x14ac:dyDescent="0.3">
      <c r="F24" s="18" t="s">
        <v>211</v>
      </c>
      <c r="G24" s="30">
        <f>SUM(E7+E14+E20)</f>
        <v>1.2286000000000001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G18" sqref="G18"/>
    </sheetView>
  </sheetViews>
  <sheetFormatPr baseColWidth="10" defaultColWidth="9.109375" defaultRowHeight="14.4" x14ac:dyDescent="0.3"/>
  <cols>
    <col min="1" max="1" width="44.6640625" customWidth="1"/>
    <col min="2" max="2" width="22.6640625" customWidth="1"/>
  </cols>
  <sheetData>
    <row r="1" spans="1:2" x14ac:dyDescent="0.3">
      <c r="A1" s="4" t="s">
        <v>105</v>
      </c>
    </row>
    <row r="3" spans="1:2" x14ac:dyDescent="0.3">
      <c r="A3" s="18" t="s">
        <v>86</v>
      </c>
      <c r="B3" s="18" t="s">
        <v>98</v>
      </c>
    </row>
    <row r="4" spans="1:2" x14ac:dyDescent="0.3">
      <c r="A4" s="2" t="s">
        <v>87</v>
      </c>
      <c r="B4" s="2" t="s">
        <v>49</v>
      </c>
    </row>
    <row r="5" spans="1:2" x14ac:dyDescent="0.3">
      <c r="A5" s="2" t="s">
        <v>88</v>
      </c>
      <c r="B5" s="2" t="s">
        <v>49</v>
      </c>
    </row>
    <row r="6" spans="1:2" x14ac:dyDescent="0.3">
      <c r="A6" s="2" t="s">
        <v>89</v>
      </c>
      <c r="B6" s="2" t="s">
        <v>50</v>
      </c>
    </row>
    <row r="7" spans="1:2" x14ac:dyDescent="0.3">
      <c r="A7" s="2" t="s">
        <v>90</v>
      </c>
      <c r="B7" s="2" t="s">
        <v>51</v>
      </c>
    </row>
    <row r="8" spans="1:2" x14ac:dyDescent="0.3">
      <c r="A8" s="2" t="s">
        <v>91</v>
      </c>
      <c r="B8" s="2" t="s">
        <v>52</v>
      </c>
    </row>
    <row r="9" spans="1:2" x14ac:dyDescent="0.3">
      <c r="A9" s="2" t="s">
        <v>92</v>
      </c>
      <c r="B9" s="2" t="s">
        <v>99</v>
      </c>
    </row>
    <row r="10" spans="1:2" x14ac:dyDescent="0.3">
      <c r="A10" s="2" t="s">
        <v>93</v>
      </c>
      <c r="B10" s="2" t="s">
        <v>100</v>
      </c>
    </row>
    <row r="12" spans="1:2" x14ac:dyDescent="0.3">
      <c r="A12" s="18" t="s">
        <v>94</v>
      </c>
      <c r="B12" s="18" t="s">
        <v>101</v>
      </c>
    </row>
    <row r="13" spans="1:2" x14ac:dyDescent="0.3">
      <c r="A13" s="2" t="s">
        <v>95</v>
      </c>
      <c r="B13" s="2" t="s">
        <v>102</v>
      </c>
    </row>
    <row r="14" spans="1:2" x14ac:dyDescent="0.3">
      <c r="A14" s="2" t="s">
        <v>96</v>
      </c>
      <c r="B14" s="2" t="s">
        <v>103</v>
      </c>
    </row>
    <row r="15" spans="1:2" x14ac:dyDescent="0.3">
      <c r="A15" s="2" t="s">
        <v>97</v>
      </c>
      <c r="B15" s="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F097-4449-43B8-911B-D15911DD5E8C}">
  <dimension ref="A1:M58"/>
  <sheetViews>
    <sheetView tabSelected="1" topLeftCell="A49" workbookViewId="0">
      <selection activeCell="D65" sqref="D65"/>
    </sheetView>
  </sheetViews>
  <sheetFormatPr baseColWidth="10" defaultRowHeight="14.4" x14ac:dyDescent="0.3"/>
  <cols>
    <col min="1" max="1" width="41.21875" customWidth="1"/>
    <col min="2" max="2" width="16.88671875" customWidth="1"/>
    <col min="3" max="3" width="5.5546875" customWidth="1"/>
    <col min="4" max="4" width="41.21875" customWidth="1"/>
    <col min="5" max="5" width="28.33203125" customWidth="1"/>
    <col min="6" max="6" width="17" customWidth="1"/>
    <col min="7" max="7" width="17.88671875" customWidth="1"/>
    <col min="8" max="8" width="18.33203125" customWidth="1"/>
    <col min="10" max="10" width="28.88671875" customWidth="1"/>
    <col min="11" max="11" width="18.44140625" customWidth="1"/>
    <col min="13" max="13" width="13.33203125" customWidth="1"/>
  </cols>
  <sheetData>
    <row r="1" spans="1:13" ht="14.4" customHeight="1" x14ac:dyDescent="0.3">
      <c r="A1" s="38" t="s">
        <v>199</v>
      </c>
      <c r="B1" s="39"/>
      <c r="C1" s="39"/>
      <c r="D1" s="39"/>
      <c r="E1" s="39"/>
      <c r="F1" s="39"/>
      <c r="G1" s="39"/>
      <c r="H1" s="40"/>
      <c r="I1" s="8"/>
    </row>
    <row r="2" spans="1:13" x14ac:dyDescent="0.3">
      <c r="A2" s="26" t="s">
        <v>184</v>
      </c>
      <c r="B2" s="26" t="s">
        <v>185</v>
      </c>
      <c r="C2" s="26" t="s">
        <v>157</v>
      </c>
      <c r="D2" s="26" t="s">
        <v>125</v>
      </c>
      <c r="E2" s="26" t="s">
        <v>186</v>
      </c>
      <c r="F2" s="26" t="s">
        <v>187</v>
      </c>
      <c r="G2" s="26" t="s">
        <v>198</v>
      </c>
      <c r="H2" s="26" t="s">
        <v>174</v>
      </c>
      <c r="I2" s="8"/>
      <c r="J2" s="32" t="s">
        <v>213</v>
      </c>
      <c r="K2" s="31">
        <f>'Detalles - Servicios'!G24</f>
        <v>1.2286000000000001</v>
      </c>
    </row>
    <row r="3" spans="1:13" x14ac:dyDescent="0.3">
      <c r="A3" s="2" t="s">
        <v>200</v>
      </c>
      <c r="B3" s="2" t="s">
        <v>188</v>
      </c>
      <c r="C3" s="2">
        <v>3</v>
      </c>
      <c r="D3" s="2" t="s">
        <v>212</v>
      </c>
      <c r="E3" s="25">
        <f>C3*SUM(L13,L17,L21)</f>
        <v>180</v>
      </c>
      <c r="F3" s="25">
        <f>3*C3*SUM(M4:M6)</f>
        <v>28.472222222222221</v>
      </c>
      <c r="G3" s="25">
        <f>3*C3*K2</f>
        <v>11.057400000000001</v>
      </c>
      <c r="H3" s="25">
        <f>SUM(E3:G3)</f>
        <v>219.52962222222223</v>
      </c>
      <c r="I3" s="8"/>
      <c r="J3" s="2"/>
      <c r="K3" s="2"/>
      <c r="L3" s="2"/>
      <c r="M3" s="33" t="s">
        <v>220</v>
      </c>
    </row>
    <row r="4" spans="1:13" x14ac:dyDescent="0.3">
      <c r="A4" s="2" t="s">
        <v>201</v>
      </c>
      <c r="B4" s="2" t="s">
        <v>188</v>
      </c>
      <c r="C4" s="2">
        <v>2</v>
      </c>
      <c r="D4" s="2" t="s">
        <v>212</v>
      </c>
      <c r="E4" s="25">
        <f>C4*SUM(L13,L17,L21)</f>
        <v>120</v>
      </c>
      <c r="F4" s="25">
        <f>3*C4*SUM(M4:M6)</f>
        <v>18.981481481481481</v>
      </c>
      <c r="G4" s="25">
        <f>3*C4*K2</f>
        <v>7.3716000000000008</v>
      </c>
      <c r="H4" s="25">
        <f t="shared" ref="H4:H11" si="0">SUM(E4:G4)</f>
        <v>146.35308148148147</v>
      </c>
      <c r="I4" s="8"/>
      <c r="J4" s="33" t="s">
        <v>217</v>
      </c>
      <c r="K4" s="28">
        <f>'Detalles - Equipos'!J9</f>
        <v>0.77160493827160492</v>
      </c>
      <c r="L4" s="28">
        <f>'Detalles - Equipos'!J19</f>
        <v>0.11574074074074076</v>
      </c>
      <c r="M4" s="28">
        <f>K4+L4</f>
        <v>0.88734567901234573</v>
      </c>
    </row>
    <row r="5" spans="1:13" x14ac:dyDescent="0.3">
      <c r="A5" s="14" t="s">
        <v>202</v>
      </c>
      <c r="B5" s="14" t="s">
        <v>209</v>
      </c>
      <c r="C5" s="2">
        <v>1.5</v>
      </c>
      <c r="D5" s="14" t="s">
        <v>212</v>
      </c>
      <c r="E5" s="25">
        <f>C5*L21</f>
        <v>30</v>
      </c>
      <c r="F5" s="25">
        <f>3*C5*M5</f>
        <v>4.3402777777777777</v>
      </c>
      <c r="G5" s="25">
        <f>3*C5*K2</f>
        <v>5.5287000000000006</v>
      </c>
      <c r="H5" s="25">
        <f t="shared" si="0"/>
        <v>39.868977777777779</v>
      </c>
      <c r="I5" s="8"/>
      <c r="J5" s="33" t="s">
        <v>218</v>
      </c>
      <c r="K5" s="28">
        <f>'Detalles - Equipos'!M9</f>
        <v>0.65586419753086422</v>
      </c>
      <c r="L5" s="28">
        <f>'Detalles - Equipos'!M19</f>
        <v>0.30864197530864196</v>
      </c>
      <c r="M5" s="28">
        <f t="shared" ref="M5:M6" si="1">K5+L5</f>
        <v>0.96450617283950613</v>
      </c>
    </row>
    <row r="6" spans="1:13" x14ac:dyDescent="0.3">
      <c r="A6" s="14" t="s">
        <v>203</v>
      </c>
      <c r="B6" s="14" t="s">
        <v>188</v>
      </c>
      <c r="C6" s="14">
        <v>2</v>
      </c>
      <c r="D6" s="14" t="s">
        <v>212</v>
      </c>
      <c r="E6" s="25">
        <f>C6*SUM(L13,L13,L21)</f>
        <v>120</v>
      </c>
      <c r="F6" s="25">
        <f>3*C6*SUM(M4:M6)</f>
        <v>18.981481481481481</v>
      </c>
      <c r="G6" s="25">
        <f>3*C6*K2</f>
        <v>7.3716000000000008</v>
      </c>
      <c r="H6" s="25">
        <f t="shared" si="0"/>
        <v>146.35308148148147</v>
      </c>
      <c r="I6" s="8"/>
      <c r="J6" s="33" t="s">
        <v>219</v>
      </c>
      <c r="K6" s="28">
        <f>'Detalles - Equipos'!P9</f>
        <v>0.92592592592592604</v>
      </c>
      <c r="L6" s="28">
        <f>'Detalles - Equipos'!P19</f>
        <v>0.38580246913580246</v>
      </c>
      <c r="M6" s="28">
        <f t="shared" si="1"/>
        <v>1.3117283950617284</v>
      </c>
    </row>
    <row r="7" spans="1:13" x14ac:dyDescent="0.3">
      <c r="A7" s="14" t="s">
        <v>204</v>
      </c>
      <c r="B7" s="14" t="s">
        <v>188</v>
      </c>
      <c r="C7" s="14">
        <v>2</v>
      </c>
      <c r="D7" s="14" t="s">
        <v>229</v>
      </c>
      <c r="E7" s="25">
        <f>C7*SUM(L11:L13)</f>
        <v>150</v>
      </c>
      <c r="F7" s="25">
        <f>3*C7*SUM(M4:M6)</f>
        <v>18.981481481481481</v>
      </c>
      <c r="G7" s="25">
        <f>3*C7*K2</f>
        <v>7.3716000000000008</v>
      </c>
      <c r="H7" s="25">
        <f t="shared" si="0"/>
        <v>176.35308148148147</v>
      </c>
      <c r="I7" s="8"/>
    </row>
    <row r="8" spans="1:13" x14ac:dyDescent="0.3">
      <c r="A8" s="14" t="s">
        <v>205</v>
      </c>
      <c r="B8" s="14" t="s">
        <v>188</v>
      </c>
      <c r="C8" s="14">
        <v>2</v>
      </c>
      <c r="D8" s="14" t="s">
        <v>212</v>
      </c>
      <c r="E8" s="25">
        <f t="shared" ref="E8" si="2">C8*SUM(L17,L20,L24)</f>
        <v>40</v>
      </c>
      <c r="F8" s="25">
        <f>3*C8*SUM(M4:M6)</f>
        <v>18.981481481481481</v>
      </c>
      <c r="G8" s="25">
        <f>3*C8*K2</f>
        <v>7.3716000000000008</v>
      </c>
      <c r="H8" s="25">
        <f t="shared" si="0"/>
        <v>66.353081481481482</v>
      </c>
      <c r="I8" s="8"/>
    </row>
    <row r="9" spans="1:13" x14ac:dyDescent="0.3">
      <c r="A9" s="14" t="s">
        <v>206</v>
      </c>
      <c r="B9" s="14" t="s">
        <v>210</v>
      </c>
      <c r="C9" s="14">
        <v>1.5</v>
      </c>
      <c r="D9" s="14" t="s">
        <v>212</v>
      </c>
      <c r="E9" s="25">
        <f>C9*L13</f>
        <v>30</v>
      </c>
      <c r="F9" s="25">
        <f>3*C9*M6</f>
        <v>5.9027777777777777</v>
      </c>
      <c r="G9" s="25">
        <f>3*C9*K2</f>
        <v>5.5287000000000006</v>
      </c>
      <c r="H9" s="25">
        <f t="shared" si="0"/>
        <v>41.431477777777779</v>
      </c>
    </row>
    <row r="10" spans="1:13" x14ac:dyDescent="0.3">
      <c r="A10" s="14" t="s">
        <v>208</v>
      </c>
      <c r="B10" s="14" t="s">
        <v>153</v>
      </c>
      <c r="C10" s="14">
        <v>2</v>
      </c>
      <c r="D10" s="14" t="s">
        <v>212</v>
      </c>
      <c r="E10" s="25">
        <f>C9*L21</f>
        <v>30</v>
      </c>
      <c r="F10" s="25">
        <f>3*C10*M4</f>
        <v>5.3240740740740744</v>
      </c>
      <c r="G10" s="25">
        <f>3*C10*K2</f>
        <v>7.3716000000000008</v>
      </c>
      <c r="H10" s="25">
        <f t="shared" si="0"/>
        <v>42.695674074074077</v>
      </c>
      <c r="J10" s="33" t="s">
        <v>221</v>
      </c>
      <c r="K10" s="33" t="s">
        <v>125</v>
      </c>
      <c r="L10" s="33" t="s">
        <v>222</v>
      </c>
    </row>
    <row r="11" spans="1:13" x14ac:dyDescent="0.3">
      <c r="A11" s="2" t="s">
        <v>207</v>
      </c>
      <c r="B11" s="14" t="s">
        <v>188</v>
      </c>
      <c r="C11" s="14">
        <v>2</v>
      </c>
      <c r="D11" s="14" t="s">
        <v>229</v>
      </c>
      <c r="E11" s="25">
        <f>C11*L21</f>
        <v>40</v>
      </c>
      <c r="F11" s="25">
        <f>3*C11*SUM(M4:M6)</f>
        <v>18.981481481481481</v>
      </c>
      <c r="G11" s="25">
        <f>3*C11*K2</f>
        <v>7.3716000000000008</v>
      </c>
      <c r="H11" s="25">
        <f t="shared" si="0"/>
        <v>66.353081481481482</v>
      </c>
      <c r="J11" s="2" t="s">
        <v>210</v>
      </c>
      <c r="K11" s="2" t="s">
        <v>133</v>
      </c>
      <c r="L11" s="2">
        <v>30</v>
      </c>
    </row>
    <row r="12" spans="1:13" x14ac:dyDescent="0.3">
      <c r="A12" s="3" t="s">
        <v>190</v>
      </c>
      <c r="B12" s="3"/>
      <c r="C12" s="3"/>
      <c r="D12" s="3"/>
      <c r="E12" s="30"/>
      <c r="F12" s="30"/>
      <c r="G12" s="30"/>
      <c r="H12" s="30">
        <f>SUM(H3:H11)</f>
        <v>945.29115925925919</v>
      </c>
      <c r="J12" s="2"/>
      <c r="K12" s="2" t="s">
        <v>189</v>
      </c>
      <c r="L12" s="2">
        <v>25</v>
      </c>
    </row>
    <row r="13" spans="1:13" x14ac:dyDescent="0.3">
      <c r="J13" s="2"/>
      <c r="K13" s="2" t="s">
        <v>223</v>
      </c>
      <c r="L13" s="2">
        <v>20</v>
      </c>
    </row>
    <row r="14" spans="1:13" x14ac:dyDescent="0.3">
      <c r="J14" s="2"/>
      <c r="K14" s="2" t="s">
        <v>224</v>
      </c>
      <c r="L14" s="2">
        <v>25</v>
      </c>
    </row>
    <row r="15" spans="1:13" x14ac:dyDescent="0.3">
      <c r="A15" s="38" t="s">
        <v>225</v>
      </c>
      <c r="B15" s="39"/>
      <c r="C15" s="39"/>
      <c r="D15" s="39"/>
      <c r="E15" s="39"/>
      <c r="F15" s="39"/>
      <c r="G15" s="39"/>
      <c r="H15" s="40"/>
    </row>
    <row r="16" spans="1:13" x14ac:dyDescent="0.3">
      <c r="A16" s="26" t="s">
        <v>184</v>
      </c>
      <c r="B16" s="26" t="s">
        <v>185</v>
      </c>
      <c r="C16" s="26" t="s">
        <v>157</v>
      </c>
      <c r="D16" s="26" t="s">
        <v>125</v>
      </c>
      <c r="E16" s="26" t="s">
        <v>186</v>
      </c>
      <c r="F16" s="26" t="s">
        <v>187</v>
      </c>
      <c r="G16" s="26" t="s">
        <v>198</v>
      </c>
      <c r="H16" s="26" t="s">
        <v>174</v>
      </c>
      <c r="J16" s="33" t="s">
        <v>221</v>
      </c>
      <c r="K16" s="33" t="s">
        <v>125</v>
      </c>
      <c r="L16" s="33" t="s">
        <v>222</v>
      </c>
    </row>
    <row r="17" spans="1:12" x14ac:dyDescent="0.3">
      <c r="A17" s="2" t="s">
        <v>226</v>
      </c>
      <c r="B17" s="2" t="s">
        <v>188</v>
      </c>
      <c r="C17" s="2">
        <v>4</v>
      </c>
      <c r="D17" s="2" t="s">
        <v>212</v>
      </c>
      <c r="E17" s="25">
        <f>C17*SUM(L13,L17,L21)</f>
        <v>240</v>
      </c>
      <c r="F17" s="25">
        <f>3*C17*SUM(M4:M6)</f>
        <v>37.962962962962962</v>
      </c>
      <c r="G17" s="25">
        <f>3*C17*K2</f>
        <v>14.743200000000002</v>
      </c>
      <c r="H17" s="25">
        <f>SUM(E17:G17)</f>
        <v>292.70616296296294</v>
      </c>
      <c r="J17" s="2" t="s">
        <v>153</v>
      </c>
      <c r="K17" s="2" t="s">
        <v>223</v>
      </c>
      <c r="L17" s="2">
        <v>20</v>
      </c>
    </row>
    <row r="18" spans="1:12" x14ac:dyDescent="0.3">
      <c r="A18" s="2" t="s">
        <v>227</v>
      </c>
      <c r="B18" s="2" t="s">
        <v>188</v>
      </c>
      <c r="C18" s="2">
        <v>2</v>
      </c>
      <c r="D18" s="2" t="s">
        <v>229</v>
      </c>
      <c r="E18" s="25">
        <f>C18*SUM(L11:L13)</f>
        <v>150</v>
      </c>
      <c r="F18" s="25">
        <f>3*C18*SUM(M4:M6)</f>
        <v>18.981481481481481</v>
      </c>
      <c r="G18" s="25">
        <f>3*C18*K2</f>
        <v>7.3716000000000008</v>
      </c>
      <c r="H18" s="25">
        <f t="shared" ref="H18:H20" si="3">SUM(E18:G18)</f>
        <v>176.35308148148147</v>
      </c>
      <c r="J18" s="2"/>
      <c r="K18" s="2" t="s">
        <v>224</v>
      </c>
      <c r="L18" s="2">
        <v>25</v>
      </c>
    </row>
    <row r="19" spans="1:12" x14ac:dyDescent="0.3">
      <c r="A19" s="2" t="s">
        <v>251</v>
      </c>
      <c r="B19" s="2" t="s">
        <v>209</v>
      </c>
      <c r="C19" s="2">
        <v>6</v>
      </c>
      <c r="D19" s="2" t="s">
        <v>212</v>
      </c>
      <c r="E19" s="25">
        <f>C19*L21</f>
        <v>120</v>
      </c>
      <c r="F19" s="25">
        <f>3*C19*M4</f>
        <v>15.972222222222223</v>
      </c>
      <c r="G19" s="25">
        <f>3*C19*K2</f>
        <v>22.114800000000002</v>
      </c>
      <c r="H19" s="25">
        <f t="shared" si="3"/>
        <v>158.08702222222223</v>
      </c>
    </row>
    <row r="20" spans="1:12" x14ac:dyDescent="0.3">
      <c r="A20" s="2" t="s">
        <v>228</v>
      </c>
      <c r="B20" s="2" t="s">
        <v>210</v>
      </c>
      <c r="C20" s="2">
        <v>4</v>
      </c>
      <c r="D20" s="2" t="s">
        <v>212</v>
      </c>
      <c r="E20" s="25">
        <f>C20*L21</f>
        <v>80</v>
      </c>
      <c r="F20" s="25">
        <f>3*C20*M6</f>
        <v>15.74074074074074</v>
      </c>
      <c r="G20" s="25">
        <f>3*C20*K2</f>
        <v>14.743200000000002</v>
      </c>
      <c r="H20" s="25">
        <f t="shared" si="3"/>
        <v>110.48394074074074</v>
      </c>
      <c r="J20" s="33" t="s">
        <v>221</v>
      </c>
      <c r="K20" s="33" t="s">
        <v>125</v>
      </c>
      <c r="L20" s="33" t="s">
        <v>222</v>
      </c>
    </row>
    <row r="21" spans="1:12" x14ac:dyDescent="0.3">
      <c r="A21" s="3" t="s">
        <v>191</v>
      </c>
      <c r="B21" s="3"/>
      <c r="C21" s="3"/>
      <c r="D21" s="3"/>
      <c r="E21" s="3"/>
      <c r="F21" s="3"/>
      <c r="G21" s="3"/>
      <c r="H21" s="30">
        <f>SUM(H17:H20)</f>
        <v>737.6302074074074</v>
      </c>
      <c r="J21" s="2" t="s">
        <v>209</v>
      </c>
      <c r="K21" s="2" t="s">
        <v>223</v>
      </c>
      <c r="L21" s="2">
        <v>20</v>
      </c>
    </row>
    <row r="22" spans="1:12" x14ac:dyDescent="0.3">
      <c r="J22" s="2"/>
      <c r="K22" s="2" t="s">
        <v>224</v>
      </c>
      <c r="L22" s="2">
        <v>25</v>
      </c>
    </row>
    <row r="24" spans="1:12" x14ac:dyDescent="0.3">
      <c r="A24" s="38" t="s">
        <v>233</v>
      </c>
      <c r="B24" s="39"/>
      <c r="C24" s="39"/>
      <c r="D24" s="39"/>
      <c r="E24" s="39"/>
      <c r="F24" s="39"/>
      <c r="G24" s="39"/>
      <c r="H24" s="40"/>
    </row>
    <row r="25" spans="1:12" x14ac:dyDescent="0.3">
      <c r="A25" s="26" t="s">
        <v>184</v>
      </c>
      <c r="B25" s="26" t="s">
        <v>185</v>
      </c>
      <c r="C25" s="26" t="s">
        <v>157</v>
      </c>
      <c r="D25" s="26" t="s">
        <v>125</v>
      </c>
      <c r="E25" s="26" t="s">
        <v>186</v>
      </c>
      <c r="F25" s="26" t="s">
        <v>187</v>
      </c>
      <c r="G25" s="26" t="s">
        <v>198</v>
      </c>
      <c r="H25" s="26" t="s">
        <v>174</v>
      </c>
    </row>
    <row r="26" spans="1:12" x14ac:dyDescent="0.3">
      <c r="A26" s="2" t="s">
        <v>252</v>
      </c>
      <c r="B26" s="2" t="s">
        <v>209</v>
      </c>
      <c r="C26" s="2">
        <v>5</v>
      </c>
      <c r="D26" s="2" t="s">
        <v>212</v>
      </c>
      <c r="E26" s="25">
        <f>C26*L21</f>
        <v>100</v>
      </c>
      <c r="F26" s="25">
        <f>3*C26*M4</f>
        <v>13.310185185185187</v>
      </c>
      <c r="G26" s="25">
        <f>3*C26*K2</f>
        <v>18.429000000000002</v>
      </c>
      <c r="H26" s="25">
        <f>SUM(E26:G26)</f>
        <v>131.73918518518519</v>
      </c>
    </row>
    <row r="27" spans="1:12" x14ac:dyDescent="0.3">
      <c r="A27" s="2" t="s">
        <v>230</v>
      </c>
      <c r="B27" s="2" t="s">
        <v>209</v>
      </c>
      <c r="C27" s="2">
        <v>4</v>
      </c>
      <c r="D27" s="2" t="s">
        <v>212</v>
      </c>
      <c r="E27" s="25">
        <f>C27*L21</f>
        <v>80</v>
      </c>
      <c r="F27" s="25">
        <f>3*C27*M5</f>
        <v>11.574074074074073</v>
      </c>
      <c r="G27" s="25">
        <f>3*C27*K2</f>
        <v>14.743200000000002</v>
      </c>
      <c r="H27" s="25">
        <f t="shared" ref="H27:H29" si="4">SUM(E27:G27)</f>
        <v>106.31727407407408</v>
      </c>
    </row>
    <row r="28" spans="1:12" x14ac:dyDescent="0.3">
      <c r="A28" s="2" t="s">
        <v>231</v>
      </c>
      <c r="B28" s="2" t="s">
        <v>153</v>
      </c>
      <c r="C28" s="2">
        <v>4</v>
      </c>
      <c r="D28" s="2" t="s">
        <v>212</v>
      </c>
      <c r="E28" s="25">
        <f>C28*L21</f>
        <v>80</v>
      </c>
      <c r="F28" s="25">
        <f>3*C28*M4</f>
        <v>10.648148148148149</v>
      </c>
      <c r="G28" s="25">
        <f>3*C28*K2</f>
        <v>14.743200000000002</v>
      </c>
      <c r="H28" s="25">
        <f t="shared" si="4"/>
        <v>105.39134814814815</v>
      </c>
    </row>
    <row r="29" spans="1:12" x14ac:dyDescent="0.3">
      <c r="A29" s="2" t="s">
        <v>232</v>
      </c>
      <c r="B29" s="2" t="s">
        <v>188</v>
      </c>
      <c r="C29" s="2">
        <v>6</v>
      </c>
      <c r="D29" s="2" t="s">
        <v>212</v>
      </c>
      <c r="E29" s="25">
        <f>C29*SUM(L11:L13)</f>
        <v>450</v>
      </c>
      <c r="F29" s="25">
        <f>3*C29*SUM(M4:M6)</f>
        <v>56.944444444444443</v>
      </c>
      <c r="G29" s="25">
        <f>3*C29*K2</f>
        <v>22.114800000000002</v>
      </c>
      <c r="H29" s="25">
        <f t="shared" si="4"/>
        <v>529.0592444444444</v>
      </c>
    </row>
    <row r="30" spans="1:12" x14ac:dyDescent="0.3">
      <c r="A30" s="3" t="s">
        <v>192</v>
      </c>
      <c r="B30" s="3"/>
      <c r="C30" s="3"/>
      <c r="D30" s="3"/>
      <c r="E30" s="30"/>
      <c r="F30" s="30"/>
      <c r="G30" s="30"/>
      <c r="H30" s="30">
        <f>SUM(H26:H29)</f>
        <v>872.50705185185188</v>
      </c>
    </row>
    <row r="32" spans="1:12" x14ac:dyDescent="0.3">
      <c r="A32" s="38" t="s">
        <v>234</v>
      </c>
      <c r="B32" s="39"/>
      <c r="C32" s="39"/>
      <c r="D32" s="39"/>
      <c r="E32" s="39"/>
      <c r="F32" s="39"/>
      <c r="G32" s="39"/>
      <c r="H32" s="40"/>
    </row>
    <row r="33" spans="1:8" x14ac:dyDescent="0.3">
      <c r="A33" s="26" t="s">
        <v>184</v>
      </c>
      <c r="B33" s="26" t="s">
        <v>185</v>
      </c>
      <c r="C33" s="26" t="s">
        <v>157</v>
      </c>
      <c r="D33" s="26" t="s">
        <v>125</v>
      </c>
      <c r="E33" s="26" t="s">
        <v>186</v>
      </c>
      <c r="F33" s="26" t="s">
        <v>187</v>
      </c>
      <c r="G33" s="26" t="s">
        <v>198</v>
      </c>
      <c r="H33" s="26" t="s">
        <v>174</v>
      </c>
    </row>
    <row r="34" spans="1:8" x14ac:dyDescent="0.3">
      <c r="A34" s="2" t="s">
        <v>235</v>
      </c>
      <c r="B34" s="2" t="s">
        <v>210</v>
      </c>
      <c r="C34" s="2">
        <v>1</v>
      </c>
      <c r="D34" s="2" t="s">
        <v>133</v>
      </c>
      <c r="E34" s="25">
        <f>C34*L11</f>
        <v>30</v>
      </c>
      <c r="F34" s="25">
        <f>3*C34*M6</f>
        <v>3.9351851851851851</v>
      </c>
      <c r="G34" s="25">
        <f>3*C34*K2</f>
        <v>3.6858000000000004</v>
      </c>
      <c r="H34" s="25">
        <f>SUM(E34:G34)</f>
        <v>37.620985185185184</v>
      </c>
    </row>
    <row r="35" spans="1:8" x14ac:dyDescent="0.3">
      <c r="A35" s="2" t="s">
        <v>236</v>
      </c>
      <c r="B35" s="2" t="s">
        <v>188</v>
      </c>
      <c r="C35" s="2">
        <v>6</v>
      </c>
      <c r="D35" s="2" t="s">
        <v>238</v>
      </c>
      <c r="E35" s="25">
        <f>C35*SUM(L14,L18,L22)</f>
        <v>450</v>
      </c>
      <c r="F35" s="25">
        <f>3*C35*SUM(M4:M6)</f>
        <v>56.944444444444443</v>
      </c>
      <c r="G35" s="25">
        <f>3*C35*K2</f>
        <v>22.114800000000002</v>
      </c>
      <c r="H35" s="25">
        <f t="shared" ref="H35:H37" si="5">SUM(E35:G35)</f>
        <v>529.0592444444444</v>
      </c>
    </row>
    <row r="36" spans="1:8" x14ac:dyDescent="0.3">
      <c r="A36" s="2" t="s">
        <v>193</v>
      </c>
      <c r="B36" s="2" t="s">
        <v>188</v>
      </c>
      <c r="C36" s="2">
        <v>2</v>
      </c>
      <c r="D36" s="2" t="s">
        <v>238</v>
      </c>
      <c r="E36" s="25">
        <f>C36*SUM(L14,L18,L22)</f>
        <v>150</v>
      </c>
      <c r="F36" s="25">
        <f>3*C36*SUM(M4:M6)</f>
        <v>18.981481481481481</v>
      </c>
      <c r="G36" s="25">
        <f>3*C36*K2</f>
        <v>7.3716000000000008</v>
      </c>
      <c r="H36" s="25">
        <f t="shared" si="5"/>
        <v>176.35308148148147</v>
      </c>
    </row>
    <row r="37" spans="1:8" x14ac:dyDescent="0.3">
      <c r="A37" s="2" t="s">
        <v>194</v>
      </c>
      <c r="B37" s="2" t="s">
        <v>188</v>
      </c>
      <c r="C37" s="2">
        <v>2</v>
      </c>
      <c r="D37" s="2" t="s">
        <v>229</v>
      </c>
      <c r="E37" s="25">
        <f>C37*SUM(L11:L13)</f>
        <v>150</v>
      </c>
      <c r="F37" s="25">
        <f>3*C37*SUM(M4:M6)</f>
        <v>18.981481481481481</v>
      </c>
      <c r="G37" s="25">
        <f>3*C37*K2</f>
        <v>7.3716000000000008</v>
      </c>
      <c r="H37" s="25">
        <f t="shared" si="5"/>
        <v>176.35308148148147</v>
      </c>
    </row>
    <row r="38" spans="1:8" x14ac:dyDescent="0.3">
      <c r="A38" s="3" t="s">
        <v>237</v>
      </c>
      <c r="B38" s="3"/>
      <c r="C38" s="3"/>
      <c r="D38" s="3"/>
      <c r="E38" s="30"/>
      <c r="F38" s="30"/>
      <c r="G38" s="30"/>
      <c r="H38" s="30">
        <f>SUM(H34:H37)</f>
        <v>919.38639259259253</v>
      </c>
    </row>
    <row r="41" spans="1:8" x14ac:dyDescent="0.3">
      <c r="A41" s="38" t="s">
        <v>195</v>
      </c>
      <c r="B41" s="39"/>
      <c r="C41" s="39"/>
      <c r="D41" s="39"/>
      <c r="E41" s="39"/>
      <c r="F41" s="39"/>
      <c r="G41" s="39"/>
      <c r="H41" s="40"/>
    </row>
    <row r="42" spans="1:8" x14ac:dyDescent="0.3">
      <c r="A42" s="26" t="s">
        <v>184</v>
      </c>
      <c r="B42" s="26" t="s">
        <v>185</v>
      </c>
      <c r="C42" s="26" t="s">
        <v>157</v>
      </c>
      <c r="D42" s="26" t="s">
        <v>125</v>
      </c>
      <c r="E42" s="26" t="s">
        <v>186</v>
      </c>
      <c r="F42" s="26" t="s">
        <v>187</v>
      </c>
      <c r="G42" s="26" t="s">
        <v>198</v>
      </c>
      <c r="H42" s="26" t="s">
        <v>174</v>
      </c>
    </row>
    <row r="43" spans="1:8" x14ac:dyDescent="0.3">
      <c r="A43" s="2" t="s">
        <v>239</v>
      </c>
      <c r="B43" s="2" t="s">
        <v>210</v>
      </c>
      <c r="C43" s="2">
        <v>6</v>
      </c>
      <c r="D43" s="2" t="s">
        <v>245</v>
      </c>
      <c r="E43" s="25">
        <f>C43*SUM(L11+L12)</f>
        <v>330</v>
      </c>
      <c r="F43" s="25">
        <f>3*C43*M6</f>
        <v>23.611111111111111</v>
      </c>
      <c r="G43" s="25">
        <f>3*C43*K2</f>
        <v>22.114800000000002</v>
      </c>
      <c r="H43" s="25">
        <f>SUM(E43:G43)</f>
        <v>375.72591111111109</v>
      </c>
    </row>
    <row r="44" spans="1:8" x14ac:dyDescent="0.3">
      <c r="A44" s="2" t="s">
        <v>240</v>
      </c>
      <c r="B44" s="2" t="s">
        <v>210</v>
      </c>
      <c r="C44" s="2">
        <v>12</v>
      </c>
      <c r="D44" s="2" t="s">
        <v>245</v>
      </c>
      <c r="E44" s="25">
        <f>C44*SUM(L11+L12)</f>
        <v>660</v>
      </c>
      <c r="F44" s="25">
        <f>3*C44*M6</f>
        <v>47.222222222222221</v>
      </c>
      <c r="G44" s="25">
        <f>3*C44*K2</f>
        <v>44.229600000000005</v>
      </c>
      <c r="H44" s="25">
        <f t="shared" ref="H44:H49" si="6">SUM(E44:G44)</f>
        <v>751.45182222222218</v>
      </c>
    </row>
    <row r="45" spans="1:8" x14ac:dyDescent="0.3">
      <c r="A45" s="2" t="s">
        <v>196</v>
      </c>
      <c r="B45" s="2" t="s">
        <v>210</v>
      </c>
      <c r="C45" s="2">
        <v>8</v>
      </c>
      <c r="D45" s="2" t="s">
        <v>245</v>
      </c>
      <c r="E45" s="25">
        <f>C45*SUM(L11+L12)</f>
        <v>440</v>
      </c>
      <c r="F45" s="25">
        <f>3*C45*M6</f>
        <v>31.481481481481481</v>
      </c>
      <c r="G45" s="25">
        <f>3*C45*K2</f>
        <v>29.486400000000003</v>
      </c>
      <c r="H45" s="25">
        <f t="shared" si="6"/>
        <v>500.96788148148147</v>
      </c>
    </row>
    <row r="46" spans="1:8" x14ac:dyDescent="0.3">
      <c r="A46" s="2" t="s">
        <v>241</v>
      </c>
      <c r="B46" s="2" t="s">
        <v>210</v>
      </c>
      <c r="C46" s="2">
        <v>8</v>
      </c>
      <c r="D46" s="2" t="s">
        <v>245</v>
      </c>
      <c r="E46" s="25">
        <f>C46*SUM(L11+L12)</f>
        <v>440</v>
      </c>
      <c r="F46" s="25">
        <f>3*C46*M6</f>
        <v>31.481481481481481</v>
      </c>
      <c r="G46" s="25">
        <f>3*C46*K2</f>
        <v>29.486400000000003</v>
      </c>
      <c r="H46" s="25">
        <f t="shared" si="6"/>
        <v>500.96788148148147</v>
      </c>
    </row>
    <row r="47" spans="1:8" x14ac:dyDescent="0.3">
      <c r="A47" s="2" t="s">
        <v>197</v>
      </c>
      <c r="B47" s="2" t="s">
        <v>210</v>
      </c>
      <c r="C47" s="2">
        <v>6</v>
      </c>
      <c r="D47" s="2" t="s">
        <v>245</v>
      </c>
      <c r="E47" s="25">
        <f>C47*SUM(L11+L12)</f>
        <v>330</v>
      </c>
      <c r="F47" s="25">
        <f>3*C47*M6</f>
        <v>23.611111111111111</v>
      </c>
      <c r="G47" s="25">
        <f>3*C47*K2</f>
        <v>22.114800000000002</v>
      </c>
      <c r="H47" s="25">
        <f t="shared" si="6"/>
        <v>375.72591111111109</v>
      </c>
    </row>
    <row r="48" spans="1:8" x14ac:dyDescent="0.3">
      <c r="A48" s="2" t="s">
        <v>242</v>
      </c>
      <c r="B48" s="2" t="s">
        <v>210</v>
      </c>
      <c r="C48" s="2">
        <v>6</v>
      </c>
      <c r="D48" s="2" t="s">
        <v>245</v>
      </c>
      <c r="E48" s="25">
        <f>C48*SUM(L11+L12)</f>
        <v>330</v>
      </c>
      <c r="F48" s="25">
        <f>3*C48*M6</f>
        <v>23.611111111111111</v>
      </c>
      <c r="G48" s="25">
        <f>3*C48*K2</f>
        <v>22.114800000000002</v>
      </c>
      <c r="H48" s="25">
        <f t="shared" si="6"/>
        <v>375.72591111111109</v>
      </c>
    </row>
    <row r="49" spans="1:8" x14ac:dyDescent="0.3">
      <c r="A49" s="2" t="s">
        <v>243</v>
      </c>
      <c r="B49" s="2" t="s">
        <v>210</v>
      </c>
      <c r="C49" s="2">
        <v>10</v>
      </c>
      <c r="D49" s="2" t="s">
        <v>245</v>
      </c>
      <c r="E49" s="25">
        <f>C49*SUM(L11+L12)</f>
        <v>550</v>
      </c>
      <c r="F49" s="25">
        <f>3*C49*M6</f>
        <v>39.351851851851855</v>
      </c>
      <c r="G49" s="25">
        <f>3*C49*K2</f>
        <v>36.858000000000004</v>
      </c>
      <c r="H49" s="25">
        <f t="shared" si="6"/>
        <v>626.20985185185191</v>
      </c>
    </row>
    <row r="50" spans="1:8" x14ac:dyDescent="0.3">
      <c r="A50" s="3" t="s">
        <v>244</v>
      </c>
      <c r="B50" s="3"/>
      <c r="C50" s="3"/>
      <c r="D50" s="3"/>
      <c r="E50" s="30"/>
      <c r="F50" s="30"/>
      <c r="G50" s="30"/>
      <c r="H50" s="30">
        <f>SUM(H43:H49)</f>
        <v>3506.7751703703702</v>
      </c>
    </row>
    <row r="52" spans="1:8" x14ac:dyDescent="0.3">
      <c r="A52" s="34" t="s">
        <v>246</v>
      </c>
      <c r="B52" s="35"/>
      <c r="C52" s="35"/>
      <c r="D52" s="35"/>
      <c r="E52" s="35"/>
      <c r="F52" s="35"/>
      <c r="G52" s="35"/>
      <c r="H52" s="30">
        <f>H12+H21+H30+H38+H50</f>
        <v>6981.5899814814811</v>
      </c>
    </row>
    <row r="55" spans="1:8" x14ac:dyDescent="0.3">
      <c r="A55" s="33" t="s">
        <v>247</v>
      </c>
      <c r="B55" s="25">
        <f>H52</f>
        <v>6981.5899814814811</v>
      </c>
    </row>
    <row r="56" spans="1:8" x14ac:dyDescent="0.3">
      <c r="A56" s="33" t="s">
        <v>248</v>
      </c>
      <c r="B56" s="25">
        <f>(0.8*B55)/0.2</f>
        <v>27926.359925925924</v>
      </c>
    </row>
    <row r="57" spans="1:8" x14ac:dyDescent="0.3">
      <c r="A57" s="33" t="s">
        <v>249</v>
      </c>
      <c r="B57" s="25">
        <f>(0.1*B55)/0.2</f>
        <v>3490.7949907407406</v>
      </c>
    </row>
    <row r="58" spans="1:8" x14ac:dyDescent="0.3">
      <c r="A58" s="34" t="s">
        <v>250</v>
      </c>
      <c r="B58" s="30">
        <f>SUM(B55:B57)</f>
        <v>38398.744898148143</v>
      </c>
    </row>
  </sheetData>
  <mergeCells count="5">
    <mergeCell ref="A15:H15"/>
    <mergeCell ref="A24:H24"/>
    <mergeCell ref="A32:H32"/>
    <mergeCell ref="A41:H41"/>
    <mergeCell ref="A1:H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Presupuesto</vt:lpstr>
      <vt:lpstr>RESUMEN</vt:lpstr>
      <vt:lpstr>Detalles - Ingenieros</vt:lpstr>
      <vt:lpstr>Detalles - Equipos</vt:lpstr>
      <vt:lpstr>Detalles - Servicios</vt:lpstr>
      <vt:lpstr>Proyección</vt:lpstr>
      <vt:lpstr>Estimado propuesta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Cordero</dc:creator>
  <cp:lastModifiedBy>Martin Cordero</cp:lastModifiedBy>
  <dcterms:created xsi:type="dcterms:W3CDTF">2025-12-17T04:34:04Z</dcterms:created>
  <dcterms:modified xsi:type="dcterms:W3CDTF">2026-01-21T02:10:50Z</dcterms:modified>
</cp:coreProperties>
</file>